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showInkAnnotation="0" codeName="Ten_skoroszyt" hidePivotFieldList="1" defaultThemeVersion="124226"/>
  <workbookProtection workbookAlgorithmName="SHA-512" workbookHashValue="zzp74qrfFXafDa6eJb4as12+lHduWML2unb1GT8B2ZDpDIprOPfRwUzTQDKECgSKnr0qSIwf4rQiaK/PtjAlRA==" workbookSaltValue="txupLm4RTePa0k5wR3IefQ==" workbookSpinCount="100000" lockStructure="1"/>
  <bookViews>
    <workbookView xWindow="240" yWindow="108" windowWidth="14808" windowHeight="8016" tabRatio="599"/>
  </bookViews>
  <sheets>
    <sheet name="Calculation Sheet" sheetId="1" r:id="rId1"/>
    <sheet name="Dashboard" sheetId="2" r:id="rId2"/>
    <sheet name="Data for visualizations" sheetId="3" r:id="rId3"/>
  </sheets>
  <definedNames>
    <definedName name="_xlnm._FilterDatabase" localSheetId="0" hidden="1">'Calculation Sheet'!$A$8:$G$225</definedName>
    <definedName name="Fragmentator_Data">#N/A</definedName>
    <definedName name="_xlnm.Criteria" localSheetId="0">'Calculation Sheet'!$I$108:$M$109</definedName>
    <definedName name="NatywnaOśCzasu_Data">#N/A</definedName>
    <definedName name="_xlnm.Extract" localSheetId="0">'Calculation Sheet'!$I$111:$M$111</definedName>
  </definedNames>
  <calcPr calcId="152511"/>
  <pivotCaches>
    <pivotCache cacheId="0" r:id="rId4"/>
    <pivotCache cacheId="1" r:id="rId5"/>
    <pivotCache cacheId="2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</x15:slicerCaches>
    </ext>
  </extLst>
</workbook>
</file>

<file path=xl/calcChain.xml><?xml version="1.0" encoding="utf-8"?>
<calcChain xmlns="http://schemas.openxmlformats.org/spreadsheetml/2006/main">
  <c r="G9" i="1" l="1"/>
  <c r="A52" i="2" l="1"/>
  <c r="A49" i="2"/>
  <c r="A46" i="2"/>
  <c r="A43" i="2"/>
  <c r="N116" i="1" l="1"/>
  <c r="O116" i="1" s="1"/>
  <c r="D215" i="1"/>
  <c r="A215" i="1"/>
  <c r="G215" i="1"/>
  <c r="P116" i="1" l="1"/>
  <c r="Q116" i="1" l="1"/>
  <c r="R116" i="1" s="1"/>
  <c r="G12" i="1"/>
  <c r="S116" i="1" l="1"/>
  <c r="G10" i="1"/>
  <c r="G11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6" i="1"/>
  <c r="G217" i="1"/>
  <c r="G218" i="1"/>
  <c r="G219" i="1"/>
  <c r="G220" i="1"/>
  <c r="G221" i="1"/>
  <c r="G222" i="1"/>
  <c r="G223" i="1"/>
  <c r="G224" i="1"/>
  <c r="G225" i="1"/>
  <c r="A15" i="1" l="1"/>
  <c r="D15" i="1"/>
  <c r="A10" i="1"/>
  <c r="A11" i="1"/>
  <c r="A12" i="1"/>
  <c r="A13" i="1"/>
  <c r="A14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6" i="1"/>
  <c r="A217" i="1"/>
  <c r="A218" i="1"/>
  <c r="A219" i="1"/>
  <c r="A220" i="1"/>
  <c r="A221" i="1"/>
  <c r="A222" i="1"/>
  <c r="A223" i="1"/>
  <c r="A224" i="1"/>
  <c r="A225" i="1"/>
  <c r="A9" i="1"/>
  <c r="N113" i="1" l="1"/>
  <c r="O113" i="1" s="1"/>
  <c r="N114" i="1"/>
  <c r="O114" i="1" s="1"/>
  <c r="N115" i="1"/>
  <c r="O115" i="1" s="1"/>
  <c r="N112" i="1"/>
  <c r="O112" i="1" s="1"/>
  <c r="P114" i="1" l="1"/>
  <c r="P113" i="1"/>
  <c r="P115" i="1"/>
  <c r="Q115" i="1" s="1"/>
  <c r="P112" i="1"/>
  <c r="Q112" i="1" s="1"/>
  <c r="R112" i="1" s="1"/>
  <c r="K109" i="1"/>
  <c r="K101" i="1"/>
  <c r="K102" i="1"/>
  <c r="K103" i="1"/>
  <c r="K104" i="1"/>
  <c r="K100" i="1"/>
  <c r="J101" i="1"/>
  <c r="J102" i="1"/>
  <c r="J103" i="1"/>
  <c r="J104" i="1"/>
  <c r="J100" i="1"/>
  <c r="Q113" i="1" l="1"/>
  <c r="R113" i="1" s="1"/>
  <c r="S113" i="1" s="1"/>
  <c r="S112" i="1"/>
  <c r="R115" i="1"/>
  <c r="S115" i="1" s="1"/>
  <c r="Q114" i="1"/>
  <c r="R114" i="1" s="1"/>
  <c r="D9" i="1"/>
  <c r="D10" i="1"/>
  <c r="D11" i="1"/>
  <c r="D12" i="1"/>
  <c r="D13" i="1"/>
  <c r="D14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6" i="1"/>
  <c r="D217" i="1"/>
  <c r="D218" i="1"/>
  <c r="D219" i="1"/>
  <c r="D220" i="1"/>
  <c r="D221" i="1"/>
  <c r="D222" i="1"/>
  <c r="D223" i="1"/>
  <c r="D224" i="1"/>
  <c r="D225" i="1"/>
  <c r="S114" i="1" l="1"/>
  <c r="Q80" i="1"/>
  <c r="T80" i="1" s="1"/>
  <c r="A40" i="2" s="1"/>
  <c r="Q75" i="1"/>
  <c r="T75" i="1" s="1"/>
  <c r="A37" i="2" s="1"/>
  <c r="T9" i="1" l="1"/>
  <c r="T32" i="1" l="1"/>
</calcChain>
</file>

<file path=xl/sharedStrings.xml><?xml version="1.0" encoding="utf-8"?>
<sst xmlns="http://schemas.openxmlformats.org/spreadsheetml/2006/main" count="839" uniqueCount="211">
  <si>
    <t>Data</t>
  </si>
  <si>
    <t>Diagnostyka przed zakupem</t>
  </si>
  <si>
    <t>Samochód</t>
  </si>
  <si>
    <t>Płyn do spryskiwaczy - zima</t>
  </si>
  <si>
    <t>Benzyna 33,8l</t>
  </si>
  <si>
    <t>Wymiana opon na zimowe + zakup 2 opon zimowych</t>
  </si>
  <si>
    <t>Zestaw wszystkich żarówek</t>
  </si>
  <si>
    <t>Parking Jeżyce 01.12.2020 - 28.01.2021</t>
  </si>
  <si>
    <t>Geometria/zbieżność</t>
  </si>
  <si>
    <t>Klocki hamulcowe TRW GDB</t>
  </si>
  <si>
    <t>Tarcze hamulcowe*2</t>
  </si>
  <si>
    <t>OC Komfort + Moto-Assistance Złoty+ + Auto-szyby + OC Szybka wypłata</t>
  </si>
  <si>
    <t>Chwytak na telefon</t>
  </si>
  <si>
    <t>Transmiter FM</t>
  </si>
  <si>
    <t>Myjnia ręczna</t>
  </si>
  <si>
    <t>Benzyna 27,2l</t>
  </si>
  <si>
    <t>Benzyna 28,2l</t>
  </si>
  <si>
    <t>Parking Jeżyce 01.02.2021 - 28.08.2021</t>
  </si>
  <si>
    <t>Rejestracja samochodu</t>
  </si>
  <si>
    <t>Benzyna 28,3l</t>
  </si>
  <si>
    <t>Benzyna 27,6l</t>
  </si>
  <si>
    <t>Szampon+wosk</t>
  </si>
  <si>
    <t>Parking 1h</t>
  </si>
  <si>
    <t>Benzyna 31l</t>
  </si>
  <si>
    <t>Parking 2h</t>
  </si>
  <si>
    <t>Benzyna 25,2l</t>
  </si>
  <si>
    <t>Wymiana opon na letnie</t>
  </si>
  <si>
    <t>Przegląd</t>
  </si>
  <si>
    <t>Benzyna 32,9l</t>
  </si>
  <si>
    <t>Benzyna 31,1l</t>
  </si>
  <si>
    <t>Benzyna 27,1l</t>
  </si>
  <si>
    <t>Parking Jeżyce 30.08.2021 - ??.02.2022</t>
  </si>
  <si>
    <t>Benzyna 22,9l</t>
  </si>
  <si>
    <t>Fotelik dziecięcy</t>
  </si>
  <si>
    <t>Benzyna 26,3</t>
  </si>
  <si>
    <t>Parking 15m</t>
  </si>
  <si>
    <t>OC Komfort + Warta NNW + Moto-Assistance Złoty+ + Auto-szyby + OC Szybka wypłata</t>
  </si>
  <si>
    <t>Srebrna mata na szybę</t>
  </si>
  <si>
    <t>Szczotko-skrobaczka</t>
  </si>
  <si>
    <t>Wycieraczka 350</t>
  </si>
  <si>
    <t>Wycieraczka 600</t>
  </si>
  <si>
    <t>Benzyna 34,5</t>
  </si>
  <si>
    <t>Filtr oleju Knecht OC617</t>
  </si>
  <si>
    <t>Filtr powietrza JC Premium B24060PR</t>
  </si>
  <si>
    <t>Filtr kabionwy Knecht LA155</t>
  </si>
  <si>
    <t>Olej silnikowy Synpower MST C3 5W30 4L</t>
  </si>
  <si>
    <t>Wymiana filtrów i oleju</t>
  </si>
  <si>
    <t>Wymiana i naprawa opon (naprawa jednej opony, gwódź)</t>
  </si>
  <si>
    <t>Zestaw bezpieczników</t>
  </si>
  <si>
    <t>Benzyna 28,1l</t>
  </si>
  <si>
    <t>Parking</t>
  </si>
  <si>
    <t>Benzyna 30,1l</t>
  </si>
  <si>
    <t>Benzyna 31,9l</t>
  </si>
  <si>
    <t>Benzyna 16,9l</t>
  </si>
  <si>
    <t>Bateria do pilota</t>
  </si>
  <si>
    <t>Benzyna 21,5l</t>
  </si>
  <si>
    <t>Parking, SkyCash (wykorzystane)</t>
  </si>
  <si>
    <t>Benzyna 33,4l</t>
  </si>
  <si>
    <t>Wymiana opon na letnie, ozonowanie, dopełnienie klimatyzacji</t>
  </si>
  <si>
    <t>Benzyna 23,4l</t>
  </si>
  <si>
    <t>Benzyna 30,7l</t>
  </si>
  <si>
    <t>Benzyna 17,7l</t>
  </si>
  <si>
    <t>Benzyna 23,3l</t>
  </si>
  <si>
    <t>Wymiana czujnika położenia wału korbowego oraz paska wielorowkowego</t>
  </si>
  <si>
    <t>Parking, 2 godziny</t>
  </si>
  <si>
    <t>Parking, 1 godzina</t>
  </si>
  <si>
    <t>Benzyna 16,3l</t>
  </si>
  <si>
    <t>Benzyna 30,6l</t>
  </si>
  <si>
    <t>Wymiana opon na zimowe</t>
  </si>
  <si>
    <t>Benzyna 20,8l</t>
  </si>
  <si>
    <t>Benzyna 19,5l</t>
  </si>
  <si>
    <t>Benzyna 30,4l</t>
  </si>
  <si>
    <t>Benzyna 30l</t>
  </si>
  <si>
    <t>Benzyna 21,8l</t>
  </si>
  <si>
    <t>Benzyna 20,9l</t>
  </si>
  <si>
    <t>Czujniki parkowania</t>
  </si>
  <si>
    <t>Autostrada A2</t>
  </si>
  <si>
    <t>Wymiana opon + diagnostyka</t>
  </si>
  <si>
    <t>Benzyna 31,7l</t>
  </si>
  <si>
    <t>Benzyna 19,2l</t>
  </si>
  <si>
    <t>Benzyna 29,8l</t>
  </si>
  <si>
    <t>Naciągnięcie paska wieloklinowego</t>
  </si>
  <si>
    <t>Benzyna 30,8l</t>
  </si>
  <si>
    <t>Benzyna 29,0l</t>
  </si>
  <si>
    <t>Benzyna 31,6l</t>
  </si>
  <si>
    <t>Benzyna 23,1l</t>
  </si>
  <si>
    <t>Żarówka tylne, lewe pozycyjne/stop*1</t>
  </si>
  <si>
    <t>Żarówka tylne, lewe pozycyjne/stop*3</t>
  </si>
  <si>
    <t>Benzyna 18,7l</t>
  </si>
  <si>
    <t>Pasek wieloklinowy</t>
  </si>
  <si>
    <t>Wymiana paska wieloklinowego + diagnostyka</t>
  </si>
  <si>
    <t>Benzyna 15,0l</t>
  </si>
  <si>
    <t>Benzyna 17,5l</t>
  </si>
  <si>
    <t>Benzyna 27,9l</t>
  </si>
  <si>
    <t>Benzyna 17,9l</t>
  </si>
  <si>
    <t>Wymiana akumulatora (akumulator, wstawienie, utylizacja)</t>
  </si>
  <si>
    <t>Benzyna 12,4l</t>
  </si>
  <si>
    <t>Mechanik (wymiana śrub układu oddechowego = 17,46 + wymiana uszczelki kolektora dolotowego (52,31) i uszczelki pokrywy zaworów (69,85) i cewki zapłonowej (171,93) i usługa (100) + wymiana opon = 60 + konserwacja podwozia = 300</t>
  </si>
  <si>
    <t>Benzyna 24,3l</t>
  </si>
  <si>
    <t>Benzyna 23,5l</t>
  </si>
  <si>
    <t>Benzyna 15,8l</t>
  </si>
  <si>
    <t>Benzyna 25,9l</t>
  </si>
  <si>
    <t>Benzyna 29,5l</t>
  </si>
  <si>
    <t>Mandat</t>
  </si>
  <si>
    <t>Benzyna 29,2l</t>
  </si>
  <si>
    <t>Benzyna 23,8l</t>
  </si>
  <si>
    <t>Benzyna 24,9l</t>
  </si>
  <si>
    <t>Benzyna 22,1l</t>
  </si>
  <si>
    <t>Benzyna 21,7l</t>
  </si>
  <si>
    <t>Benzyna 30,0l</t>
  </si>
  <si>
    <t>Benzyna 28,0l</t>
  </si>
  <si>
    <t>Benzyna 24,5l</t>
  </si>
  <si>
    <t>Benzyna 31,4l</t>
  </si>
  <si>
    <t>Benzyna 28,5l</t>
  </si>
  <si>
    <t>Benzyna 29,6l</t>
  </si>
  <si>
    <t>Benzyna 17,8l</t>
  </si>
  <si>
    <t>Benzyna 22,6l</t>
  </si>
  <si>
    <t>Benzyna 27,7l</t>
  </si>
  <si>
    <t>Benzyna 27,4l</t>
  </si>
  <si>
    <t>Benzyna 15,7l</t>
  </si>
  <si>
    <t>Benzyna 29,9l</t>
  </si>
  <si>
    <t>Benzyna 29,3l</t>
  </si>
  <si>
    <t>Benzyna 25,7l</t>
  </si>
  <si>
    <t>Parking 3h</t>
  </si>
  <si>
    <t>Benzyna 11,3l</t>
  </si>
  <si>
    <t>Benzyna 10,4l</t>
  </si>
  <si>
    <t>Autostrada</t>
  </si>
  <si>
    <t>Benzyna</t>
  </si>
  <si>
    <t>&gt;100</t>
  </si>
  <si>
    <t>&lt;100</t>
  </si>
  <si>
    <t>BD.SUMA</t>
  </si>
  <si>
    <t>OC Komfort + Moto-Assistance Złoty + Auto-szyby + OC Szybka wypłata</t>
  </si>
  <si>
    <t>OC Komfort + Warta NNW + Moto-Assistance Złoty + Auto-szyby + OC Szybka wypłata</t>
  </si>
  <si>
    <t>Inny wydatek</t>
  </si>
  <si>
    <t>Suma końcowa</t>
  </si>
  <si>
    <t>sty</t>
  </si>
  <si>
    <t>lut</t>
  </si>
  <si>
    <t>mar</t>
  </si>
  <si>
    <t>kwi</t>
  </si>
  <si>
    <t>maj</t>
  </si>
  <si>
    <t>cze</t>
  </si>
  <si>
    <t>lip</t>
  </si>
  <si>
    <t>sie</t>
  </si>
  <si>
    <t>wrz</t>
  </si>
  <si>
    <t>paź</t>
  </si>
  <si>
    <t>lis</t>
  </si>
  <si>
    <t>gru</t>
  </si>
  <si>
    <t>2020</t>
  </si>
  <si>
    <t>2021</t>
  </si>
  <si>
    <t>2022</t>
  </si>
  <si>
    <t>2023</t>
  </si>
  <si>
    <t>2024</t>
  </si>
  <si>
    <t>Poznań</t>
  </si>
  <si>
    <t>Inna miejscowość</t>
  </si>
  <si>
    <t>IVQ</t>
  </si>
  <si>
    <t>IQ</t>
  </si>
  <si>
    <t>IIQ</t>
  </si>
  <si>
    <t>IIIQ</t>
  </si>
  <si>
    <t>OC + Holowanie pojazdu + Szyby + Telefoniczny Asystent Prawny + Car Assistance - Wypadek + Car Assistance - Awaria_3</t>
  </si>
  <si>
    <t>OC + Holowanie pojazdu + Szyby + Telefoniczny Asystent Prawny + Car Assistance - Wypadek + Car Assistance - Awaria_2</t>
  </si>
  <si>
    <t>OC + Holowanie pojazdu + Szyby + Telefoniczny Asystent Prawny + Car Assistance - Wypadek + Car Assistance - Awaria_1</t>
  </si>
  <si>
    <t>OC_2024</t>
  </si>
  <si>
    <t>OC_2023</t>
  </si>
  <si>
    <t>OC_2022</t>
  </si>
  <si>
    <t>OC_2020</t>
  </si>
  <si>
    <t>OC_2021</t>
  </si>
  <si>
    <t>Car expenses calculation sheet for 2020-2024 (author: Leszek Dekiert)</t>
  </si>
  <si>
    <t>Data preparation (formulas in columns)_source data</t>
  </si>
  <si>
    <t>Advanced filter_petrol</t>
  </si>
  <si>
    <t>Adv. filter_expenses &lt; 100 (no petrol/no parking)</t>
  </si>
  <si>
    <t>Purchase location</t>
  </si>
  <si>
    <t>Expenditure</t>
  </si>
  <si>
    <t>Id</t>
  </si>
  <si>
    <t>Amount</t>
  </si>
  <si>
    <t>Category</t>
  </si>
  <si>
    <t>Petrol price</t>
  </si>
  <si>
    <t>Adv. filter_expenses &gt; 100 (no petrol/no parking)</t>
  </si>
  <si>
    <t>Database function_Total petrol expenses</t>
  </si>
  <si>
    <t>Database function_Total parking expenses</t>
  </si>
  <si>
    <t>Slicer_Data</t>
  </si>
  <si>
    <t>Vlookup_INDEX/MATCH (miscellaneous)</t>
  </si>
  <si>
    <t>Text operations_Extracting car insurance elements</t>
  </si>
  <si>
    <t>Insurance_part 1</t>
  </si>
  <si>
    <t>Insurance_part 2</t>
  </si>
  <si>
    <t>Insurance_part 3</t>
  </si>
  <si>
    <t>Insurance_part 4</t>
  </si>
  <si>
    <t>Insurance_part 5</t>
  </si>
  <si>
    <t>Insurance_part 6</t>
  </si>
  <si>
    <t>Pivot tables (miscellaneous data)</t>
  </si>
  <si>
    <t>Expense category</t>
  </si>
  <si>
    <t>Sum</t>
  </si>
  <si>
    <t>Average</t>
  </si>
  <si>
    <t>Year/month</t>
  </si>
  <si>
    <t>Calculations_Petrol price</t>
  </si>
  <si>
    <t>Max</t>
  </si>
  <si>
    <t>Min</t>
  </si>
  <si>
    <t>Standard deviation</t>
  </si>
  <si>
    <t>SUM</t>
  </si>
  <si>
    <t>Total petrol expenses (2020-2024)</t>
  </si>
  <si>
    <t>Total parking expenses (2020-2024)</t>
  </si>
  <si>
    <t>Average petrol price (2020-2024)</t>
  </si>
  <si>
    <t>Highest petrol price (2020-2024)</t>
  </si>
  <si>
    <t>Lowest petrol price (2020-2024)</t>
  </si>
  <si>
    <t>Gasoline price standard deviation (2020-2024)</t>
  </si>
  <si>
    <t>Total expenses in months</t>
  </si>
  <si>
    <t>Average price of petrol</t>
  </si>
  <si>
    <t>Costs greater than PLN 100 excluding parking and petrol</t>
  </si>
  <si>
    <t>Total expenditure in years</t>
  </si>
  <si>
    <t>Expenses</t>
  </si>
  <si>
    <t>Year</t>
  </si>
  <si>
    <t>Car expenses 2020-2024 (author: Leszek Dekiert)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</si>
</sst>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&quot; zł&quot;"/>
    <numFmt numFmtId="165" formatCode="dd/mm/yyyy\,\ dddd"/>
    <numFmt numFmtId="166" formatCode="0.00\ &quot;zł&quot;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  <charset val="238"/>
    </font>
    <font>
      <sz val="10"/>
      <color theme="1"/>
      <name val="Segoe UI"/>
      <family val="2"/>
      <charset val="238"/>
    </font>
    <font>
      <sz val="10"/>
      <color theme="1"/>
      <name val="Segoe UI"/>
      <family val="2"/>
      <charset val="238"/>
    </font>
    <font>
      <b/>
      <sz val="10"/>
      <color theme="1"/>
      <name val="Segoe UI"/>
      <family val="2"/>
      <charset val="238"/>
    </font>
    <font>
      <b/>
      <sz val="20"/>
      <color theme="1"/>
      <name val="Segoe UI"/>
      <family val="2"/>
      <charset val="238"/>
    </font>
    <font>
      <b/>
      <sz val="36"/>
      <color theme="1"/>
      <name val="Segoe U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4" fillId="2" borderId="12" xfId="0" applyFont="1" applyFill="1" applyBorder="1" applyAlignment="1" applyProtection="1">
      <alignment horizontal="left" vertical="center" wrapText="1"/>
      <protection locked="0"/>
    </xf>
    <xf numFmtId="0" fontId="4" fillId="2" borderId="13" xfId="0" applyFont="1" applyFill="1" applyBorder="1" applyAlignment="1" applyProtection="1">
      <alignment horizontal="left" vertical="center" wrapText="1"/>
      <protection locked="0"/>
    </xf>
    <xf numFmtId="0" fontId="4" fillId="2" borderId="14" xfId="0" applyFont="1" applyFill="1" applyBorder="1" applyAlignment="1" applyProtection="1">
      <alignment horizontal="left" vertical="center" wrapText="1"/>
      <protection locked="0"/>
    </xf>
    <xf numFmtId="0" fontId="4" fillId="3" borderId="14" xfId="0" applyFont="1" applyFill="1" applyBorder="1" applyAlignment="1" applyProtection="1">
      <alignment horizontal="left" vertical="center" wrapText="1"/>
      <protection locked="0"/>
    </xf>
    <xf numFmtId="0" fontId="4" fillId="7" borderId="1" xfId="0" applyFont="1" applyFill="1" applyBorder="1" applyAlignment="1" applyProtection="1">
      <alignment horizontal="left" vertical="center" wrapText="1"/>
      <protection locked="0"/>
    </xf>
    <xf numFmtId="0" fontId="4" fillId="4" borderId="10" xfId="0" applyFont="1" applyFill="1" applyBorder="1" applyAlignment="1" applyProtection="1">
      <alignment horizontal="left" vertical="center" wrapText="1"/>
      <protection locked="0"/>
    </xf>
    <xf numFmtId="0" fontId="4" fillId="2" borderId="2" xfId="0" applyFont="1" applyFill="1" applyBorder="1" applyAlignment="1" applyProtection="1">
      <alignment horizontal="left" vertical="center" wrapText="1"/>
      <protection locked="0"/>
    </xf>
    <xf numFmtId="0" fontId="4" fillId="2" borderId="3" xfId="0" applyFont="1" applyFill="1" applyBorder="1" applyAlignment="1" applyProtection="1">
      <alignment horizontal="left" vertical="center" wrapText="1"/>
      <protection locked="0"/>
    </xf>
    <xf numFmtId="0" fontId="4" fillId="3" borderId="4" xfId="0" applyFont="1" applyFill="1" applyBorder="1" applyAlignment="1" applyProtection="1">
      <alignment horizontal="left" vertical="center" wrapText="1"/>
      <protection locked="0"/>
    </xf>
    <xf numFmtId="0" fontId="4" fillId="4" borderId="5" xfId="0" applyFont="1" applyFill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4" borderId="7" xfId="0" applyFont="1" applyFill="1" applyBorder="1" applyAlignment="1" applyProtection="1">
      <alignment horizontal="left" vertical="center" wrapText="1"/>
      <protection locked="0"/>
    </xf>
    <xf numFmtId="0" fontId="4" fillId="0" borderId="9" xfId="0" applyFont="1" applyBorder="1" applyAlignment="1" applyProtection="1">
      <alignment horizontal="left" vertical="center" wrapText="1"/>
      <protection locked="0"/>
    </xf>
    <xf numFmtId="0" fontId="4" fillId="2" borderId="4" xfId="0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vertical="center"/>
    </xf>
    <xf numFmtId="0" fontId="3" fillId="0" borderId="0" xfId="0" pivotButton="1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2" fillId="0" borderId="0" xfId="0" applyFont="1" applyAlignment="1" applyProtection="1">
      <alignment horizontal="left" vertical="center" wrapText="1"/>
      <protection locked="0"/>
    </xf>
    <xf numFmtId="164" fontId="2" fillId="6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Font="1" applyFill="1" applyBorder="1" applyAlignment="1" applyProtection="1">
      <alignment horizontal="left" vertical="center" wrapText="1"/>
      <protection locked="0"/>
    </xf>
    <xf numFmtId="0" fontId="2" fillId="6" borderId="0" xfId="0" quotePrefix="1" applyFont="1" applyFill="1" applyAlignment="1" applyProtection="1">
      <alignment horizontal="left" vertical="center" wrapText="1"/>
      <protection locked="0"/>
    </xf>
    <xf numFmtId="165" fontId="2" fillId="6" borderId="1" xfId="0" applyNumberFormat="1" applyFont="1" applyFill="1" applyBorder="1" applyAlignment="1" applyProtection="1">
      <alignment horizontal="left" vertical="center" wrapText="1"/>
      <protection locked="0"/>
    </xf>
    <xf numFmtId="165" fontId="2" fillId="6" borderId="11" xfId="0" applyNumberFormat="1" applyFont="1" applyFill="1" applyBorder="1" applyAlignment="1" applyProtection="1">
      <alignment horizontal="left" vertical="center" wrapText="1"/>
      <protection locked="0"/>
    </xf>
    <xf numFmtId="166" fontId="2" fillId="6" borderId="1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1" xfId="0" quotePrefix="1" applyFont="1" applyBorder="1" applyAlignment="1" applyProtection="1">
      <alignment horizontal="left" vertical="center" wrapText="1"/>
      <protection locked="0"/>
    </xf>
    <xf numFmtId="14" fontId="2" fillId="0" borderId="1" xfId="0" applyNumberFormat="1" applyFont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 wrapText="1"/>
      <protection locked="0"/>
    </xf>
    <xf numFmtId="14" fontId="2" fillId="5" borderId="1" xfId="0" applyNumberFormat="1" applyFont="1" applyFill="1" applyBorder="1" applyAlignment="1" applyProtection="1">
      <alignment horizontal="left" vertical="center" wrapText="1"/>
      <protection locked="0"/>
    </xf>
    <xf numFmtId="14" fontId="2" fillId="6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8" xfId="0" applyFont="1" applyFill="1" applyBorder="1" applyAlignment="1" applyProtection="1">
      <alignment horizontal="left" vertical="center" wrapText="1"/>
      <protection locked="0"/>
    </xf>
    <xf numFmtId="14" fontId="2" fillId="6" borderId="8" xfId="0" applyNumberFormat="1" applyFont="1" applyFill="1" applyBorder="1" applyAlignment="1" applyProtection="1">
      <alignment horizontal="left" vertical="center" wrapText="1"/>
      <protection locked="0"/>
    </xf>
    <xf numFmtId="0" fontId="2" fillId="0" borderId="5" xfId="0" applyFont="1" applyBorder="1" applyAlignment="1" applyProtection="1">
      <alignment horizontal="left" vertical="center" wrapText="1"/>
      <protection locked="0"/>
    </xf>
    <xf numFmtId="0" fontId="2" fillId="0" borderId="7" xfId="0" applyFont="1" applyBorder="1" applyAlignment="1" applyProtection="1">
      <alignment horizontal="left" vertical="center" wrapText="1"/>
      <protection locked="0"/>
    </xf>
    <xf numFmtId="14" fontId="2" fillId="0" borderId="8" xfId="0" applyNumberFormat="1" applyFont="1" applyBorder="1" applyAlignment="1" applyProtection="1">
      <alignment horizontal="left" vertical="center" wrapText="1"/>
      <protection locked="0"/>
    </xf>
    <xf numFmtId="0" fontId="2" fillId="0" borderId="9" xfId="0" applyFont="1" applyBorder="1" applyAlignment="1" applyProtection="1">
      <alignment horizontal="left" vertical="center" wrapText="1"/>
      <protection locked="0"/>
    </xf>
    <xf numFmtId="0" fontId="2" fillId="6" borderId="1" xfId="0" quotePrefix="1" applyFont="1" applyFill="1" applyBorder="1" applyAlignment="1" applyProtection="1">
      <alignment horizontal="left" vertical="center" wrapText="1"/>
      <protection locked="0"/>
    </xf>
    <xf numFmtId="0" fontId="2" fillId="6" borderId="6" xfId="0" quotePrefix="1" applyFont="1" applyFill="1" applyBorder="1" applyAlignment="1" applyProtection="1">
      <alignment horizontal="left" vertical="center" wrapText="1"/>
      <protection locked="0"/>
    </xf>
    <xf numFmtId="0" fontId="2" fillId="0" borderId="0" xfId="0" quotePrefix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8" xfId="0" applyFont="1" applyBorder="1" applyAlignment="1" applyProtection="1">
      <alignment horizontal="left" vertical="center" wrapText="1"/>
      <protection locked="0"/>
    </xf>
    <xf numFmtId="0" fontId="2" fillId="6" borderId="8" xfId="0" quotePrefix="1" applyFont="1" applyFill="1" applyBorder="1" applyAlignment="1" applyProtection="1">
      <alignment horizontal="left" vertical="center" wrapText="1"/>
      <protection locked="0"/>
    </xf>
    <xf numFmtId="0" fontId="2" fillId="6" borderId="9" xfId="0" quotePrefix="1" applyFont="1" applyFill="1" applyBorder="1" applyAlignment="1" applyProtection="1">
      <alignment horizontal="left" vertical="center" wrapText="1"/>
      <protection locked="0"/>
    </xf>
    <xf numFmtId="0" fontId="2" fillId="0" borderId="0" xfId="0" pivotButton="1" applyFont="1" applyAlignment="1" applyProtection="1">
      <alignment horizontal="left" vertical="center"/>
      <protection locked="0"/>
    </xf>
    <xf numFmtId="0" fontId="2" fillId="0" borderId="0" xfId="0" applyNumberFormat="1" applyFont="1" applyAlignment="1" applyProtection="1">
      <alignment horizontal="left" vertical="center"/>
      <protection locked="0"/>
    </xf>
    <xf numFmtId="165" fontId="2" fillId="0" borderId="0" xfId="0" applyNumberFormat="1" applyFont="1" applyAlignment="1" applyProtection="1">
      <alignment horizontal="left" vertical="center"/>
      <protection locked="0"/>
    </xf>
    <xf numFmtId="2" fontId="2" fillId="0" borderId="0" xfId="0" applyNumberFormat="1" applyFont="1" applyAlignment="1" applyProtection="1">
      <alignment horizontal="left" vertical="center"/>
      <protection locked="0"/>
    </xf>
    <xf numFmtId="164" fontId="2" fillId="6" borderId="15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5" xfId="0" applyFont="1" applyFill="1" applyBorder="1" applyAlignment="1" applyProtection="1">
      <alignment horizontal="left" vertical="center" wrapText="1"/>
      <protection locked="0"/>
    </xf>
    <xf numFmtId="165" fontId="2" fillId="6" borderId="15" xfId="0" applyNumberFormat="1" applyFont="1" applyFill="1" applyBorder="1" applyAlignment="1" applyProtection="1">
      <alignment horizontal="left" vertical="center" wrapText="1"/>
      <protection locked="0"/>
    </xf>
    <xf numFmtId="165" fontId="2" fillId="6" borderId="16" xfId="0" applyNumberFormat="1" applyFont="1" applyFill="1" applyBorder="1" applyAlignment="1" applyProtection="1">
      <alignment horizontal="left" vertical="center" wrapText="1"/>
      <protection locked="0"/>
    </xf>
    <xf numFmtId="0" fontId="5" fillId="9" borderId="0" xfId="0" applyFont="1" applyFill="1" applyAlignment="1" applyProtection="1">
      <alignment horizontal="center" vertical="center" wrapText="1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left" vertical="center"/>
    </xf>
    <xf numFmtId="0" fontId="4" fillId="11" borderId="0" xfId="0" applyFont="1" applyFill="1" applyAlignment="1">
      <alignment horizontal="center" vertical="center"/>
    </xf>
    <xf numFmtId="0" fontId="4" fillId="8" borderId="0" xfId="0" applyFont="1" applyFill="1" applyAlignment="1" applyProtection="1">
      <alignment horizontal="center" vertical="center"/>
      <protection locked="0"/>
    </xf>
    <xf numFmtId="0" fontId="2" fillId="0" borderId="0" xfId="0" pivotButton="1" applyFont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Protection="1">
      <protection locked="0"/>
    </xf>
    <xf numFmtId="0" fontId="4" fillId="7" borderId="17" xfId="0" applyFont="1" applyFill="1" applyBorder="1" applyProtection="1">
      <protection locked="0"/>
    </xf>
    <xf numFmtId="0" fontId="3" fillId="0" borderId="18" xfId="0" applyFont="1" applyBorder="1" applyAlignment="1" applyProtection="1">
      <alignment horizontal="left" vertical="center"/>
      <protection locked="0"/>
    </xf>
    <xf numFmtId="0" fontId="4" fillId="7" borderId="17" xfId="0" applyFont="1" applyFill="1" applyBorder="1" applyAlignment="1" applyProtection="1">
      <alignment horizontal="left" vertical="center"/>
      <protection locked="0"/>
    </xf>
    <xf numFmtId="2" fontId="3" fillId="0" borderId="18" xfId="0" applyNumberFormat="1" applyFont="1" applyBorder="1" applyAlignment="1" applyProtection="1">
      <alignment horizontal="left" vertical="center"/>
      <protection locked="0"/>
    </xf>
    <xf numFmtId="0" fontId="4" fillId="7" borderId="17" xfId="0" applyFont="1" applyFill="1" applyBorder="1" applyAlignment="1" applyProtection="1">
      <alignment wrapText="1"/>
      <protection locked="0"/>
    </xf>
    <xf numFmtId="0" fontId="6" fillId="10" borderId="0" xfId="0" applyFont="1" applyFill="1" applyAlignment="1" applyProtection="1">
      <alignment horizontal="center" vertical="center"/>
    </xf>
    <xf numFmtId="0" fontId="1" fillId="0" borderId="0" xfId="0" pivotButton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</cellXfs>
  <cellStyles count="1">
    <cellStyle name="Normalny" xfId="0" builtinId="0"/>
  </cellStyles>
  <dxfs count="262"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solid">
          <fgColor indexed="64"/>
          <bgColor rgb="FFD9D9D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66" formatCode="0.00\ &quot;zł&quot;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65" formatCode="dd/mm/yyyy\,\ dddd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65" formatCode="dd/mm/yyyy\,\ dddd"/>
      <fill>
        <patternFill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64" formatCode="0.00&quot; zł&quot;"/>
      <fill>
        <patternFill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solid">
          <fgColor indexed="64"/>
          <bgColor rgb="FFEFEFEF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left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numFmt numFmtId="2" formatCode="0.0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 expenses_2020-2024.xlsm]Data for visualizations!Tabela przestawna3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l-PL" b="1"/>
              <a:t>Total expenses/month for 2021-2024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'Data for visualizations'!$B$2</c:f>
              <c:strCache>
                <c:ptCount val="1"/>
                <c:pt idx="0">
                  <c:v>Suma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'Data for visualizations'!$A$3:$A$55</c:f>
              <c:multiLvlStrCache>
                <c:ptCount val="48"/>
                <c:lvl>
                  <c:pt idx="0">
                    <c:v>sty</c:v>
                  </c:pt>
                  <c:pt idx="1">
                    <c:v>lut</c:v>
                  </c:pt>
                  <c:pt idx="2">
                    <c:v>mar</c:v>
                  </c:pt>
                  <c:pt idx="3">
                    <c:v>kwi</c:v>
                  </c:pt>
                  <c:pt idx="4">
                    <c:v>maj</c:v>
                  </c:pt>
                  <c:pt idx="5">
                    <c:v>cze</c:v>
                  </c:pt>
                  <c:pt idx="6">
                    <c:v>lip</c:v>
                  </c:pt>
                  <c:pt idx="7">
                    <c:v>sie</c:v>
                  </c:pt>
                  <c:pt idx="8">
                    <c:v>wrz</c:v>
                  </c:pt>
                  <c:pt idx="9">
                    <c:v>paź</c:v>
                  </c:pt>
                  <c:pt idx="10">
                    <c:v>lis</c:v>
                  </c:pt>
                  <c:pt idx="11">
                    <c:v>gru</c:v>
                  </c:pt>
                  <c:pt idx="12">
                    <c:v>sty</c:v>
                  </c:pt>
                  <c:pt idx="13">
                    <c:v>lut</c:v>
                  </c:pt>
                  <c:pt idx="14">
                    <c:v>mar</c:v>
                  </c:pt>
                  <c:pt idx="15">
                    <c:v>kwi</c:v>
                  </c:pt>
                  <c:pt idx="16">
                    <c:v>maj</c:v>
                  </c:pt>
                  <c:pt idx="17">
                    <c:v>cze</c:v>
                  </c:pt>
                  <c:pt idx="18">
                    <c:v>lip</c:v>
                  </c:pt>
                  <c:pt idx="19">
                    <c:v>sie</c:v>
                  </c:pt>
                  <c:pt idx="20">
                    <c:v>wrz</c:v>
                  </c:pt>
                  <c:pt idx="21">
                    <c:v>paź</c:v>
                  </c:pt>
                  <c:pt idx="22">
                    <c:v>lis</c:v>
                  </c:pt>
                  <c:pt idx="23">
                    <c:v>gru</c:v>
                  </c:pt>
                  <c:pt idx="24">
                    <c:v>sty</c:v>
                  </c:pt>
                  <c:pt idx="25">
                    <c:v>lut</c:v>
                  </c:pt>
                  <c:pt idx="26">
                    <c:v>mar</c:v>
                  </c:pt>
                  <c:pt idx="27">
                    <c:v>kwi</c:v>
                  </c:pt>
                  <c:pt idx="28">
                    <c:v>maj</c:v>
                  </c:pt>
                  <c:pt idx="29">
                    <c:v>cze</c:v>
                  </c:pt>
                  <c:pt idx="30">
                    <c:v>lip</c:v>
                  </c:pt>
                  <c:pt idx="31">
                    <c:v>sie</c:v>
                  </c:pt>
                  <c:pt idx="32">
                    <c:v>wrz</c:v>
                  </c:pt>
                  <c:pt idx="33">
                    <c:v>paź</c:v>
                  </c:pt>
                  <c:pt idx="34">
                    <c:v>lis</c:v>
                  </c:pt>
                  <c:pt idx="35">
                    <c:v>gru</c:v>
                  </c:pt>
                  <c:pt idx="36">
                    <c:v>sty</c:v>
                  </c:pt>
                  <c:pt idx="37">
                    <c:v>lut</c:v>
                  </c:pt>
                  <c:pt idx="38">
                    <c:v>mar</c:v>
                  </c:pt>
                  <c:pt idx="39">
                    <c:v>kwi</c:v>
                  </c:pt>
                  <c:pt idx="40">
                    <c:v>maj</c:v>
                  </c:pt>
                  <c:pt idx="41">
                    <c:v>cze</c:v>
                  </c:pt>
                  <c:pt idx="42">
                    <c:v>lip</c:v>
                  </c:pt>
                  <c:pt idx="43">
                    <c:v>sie</c:v>
                  </c:pt>
                  <c:pt idx="44">
                    <c:v>wrz</c:v>
                  </c:pt>
                  <c:pt idx="45">
                    <c:v>paź</c:v>
                  </c:pt>
                  <c:pt idx="46">
                    <c:v>lis</c:v>
                  </c:pt>
                  <c:pt idx="47">
                    <c:v>gru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  <c:pt idx="24">
                    <c:v>2023</c:v>
                  </c:pt>
                  <c:pt idx="36">
                    <c:v>2024</c:v>
                  </c:pt>
                </c:lvl>
              </c:multiLvlStrCache>
            </c:multiLvlStrRef>
          </c:cat>
          <c:val>
            <c:numRef>
              <c:f>'Data for visualizations'!$B$3:$B$55</c:f>
              <c:numCache>
                <c:formatCode>General</c:formatCode>
                <c:ptCount val="48"/>
                <c:pt idx="0">
                  <c:v>524</c:v>
                </c:pt>
                <c:pt idx="1">
                  <c:v>293</c:v>
                </c:pt>
                <c:pt idx="2">
                  <c:v>173</c:v>
                </c:pt>
                <c:pt idx="3">
                  <c:v>29</c:v>
                </c:pt>
                <c:pt idx="4">
                  <c:v>466</c:v>
                </c:pt>
                <c:pt idx="5">
                  <c:v>49</c:v>
                </c:pt>
                <c:pt idx="6">
                  <c:v>328</c:v>
                </c:pt>
                <c:pt idx="7">
                  <c:v>324</c:v>
                </c:pt>
                <c:pt idx="8">
                  <c:v>803</c:v>
                </c:pt>
                <c:pt idx="9">
                  <c:v>15</c:v>
                </c:pt>
                <c:pt idx="10">
                  <c:v>1095</c:v>
                </c:pt>
                <c:pt idx="11">
                  <c:v>924</c:v>
                </c:pt>
                <c:pt idx="12">
                  <c:v>181</c:v>
                </c:pt>
                <c:pt idx="13">
                  <c:v>171</c:v>
                </c:pt>
                <c:pt idx="14">
                  <c:v>539</c:v>
                </c:pt>
                <c:pt idx="15">
                  <c:v>189</c:v>
                </c:pt>
                <c:pt idx="16">
                  <c:v>450</c:v>
                </c:pt>
                <c:pt idx="17">
                  <c:v>20</c:v>
                </c:pt>
                <c:pt idx="18">
                  <c:v>264</c:v>
                </c:pt>
                <c:pt idx="19">
                  <c:v>114</c:v>
                </c:pt>
                <c:pt idx="20">
                  <c:v>775</c:v>
                </c:pt>
                <c:pt idx="21">
                  <c:v>136</c:v>
                </c:pt>
                <c:pt idx="22">
                  <c:v>473</c:v>
                </c:pt>
                <c:pt idx="23">
                  <c:v>1101</c:v>
                </c:pt>
                <c:pt idx="24">
                  <c:v>221</c:v>
                </c:pt>
                <c:pt idx="25">
                  <c:v>215</c:v>
                </c:pt>
                <c:pt idx="26">
                  <c:v>314</c:v>
                </c:pt>
                <c:pt idx="27">
                  <c:v>882</c:v>
                </c:pt>
                <c:pt idx="28">
                  <c:v>530</c:v>
                </c:pt>
                <c:pt idx="29">
                  <c:v>30</c:v>
                </c:pt>
                <c:pt idx="30">
                  <c:v>413</c:v>
                </c:pt>
                <c:pt idx="31">
                  <c:v>492</c:v>
                </c:pt>
                <c:pt idx="32">
                  <c:v>467</c:v>
                </c:pt>
                <c:pt idx="33">
                  <c:v>1571</c:v>
                </c:pt>
                <c:pt idx="34">
                  <c:v>1629</c:v>
                </c:pt>
                <c:pt idx="35">
                  <c:v>221</c:v>
                </c:pt>
                <c:pt idx="36">
                  <c:v>405</c:v>
                </c:pt>
                <c:pt idx="37">
                  <c:v>158</c:v>
                </c:pt>
                <c:pt idx="38">
                  <c:v>489</c:v>
                </c:pt>
                <c:pt idx="39">
                  <c:v>647</c:v>
                </c:pt>
                <c:pt idx="40">
                  <c:v>216</c:v>
                </c:pt>
                <c:pt idx="41">
                  <c:v>601</c:v>
                </c:pt>
                <c:pt idx="42">
                  <c:v>276</c:v>
                </c:pt>
                <c:pt idx="43">
                  <c:v>171</c:v>
                </c:pt>
                <c:pt idx="44">
                  <c:v>479</c:v>
                </c:pt>
                <c:pt idx="45">
                  <c:v>506</c:v>
                </c:pt>
                <c:pt idx="46">
                  <c:v>1496</c:v>
                </c:pt>
                <c:pt idx="47">
                  <c:v>633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381948016"/>
        <c:axId val="-1381943664"/>
      </c:lineChart>
      <c:catAx>
        <c:axId val="-138194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pl-PL"/>
                  <a:t>Month/year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43664"/>
        <c:crosses val="autoZero"/>
        <c:auto val="1"/>
        <c:lblAlgn val="ctr"/>
        <c:lblOffset val="100"/>
        <c:noMultiLvlLbl val="0"/>
      </c:catAx>
      <c:valAx>
        <c:axId val="-138194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pl-PL"/>
                  <a:t>Expenses (PLN)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 expenses_2020-2024.xlsm]Data for visualizations!Tabela przestawna4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l-PL" b="1"/>
              <a:t>Average gasoline price/quarters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l-PL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'Data for visualizations'!$E$2</c:f>
              <c:strCache>
                <c:ptCount val="1"/>
                <c:pt idx="0">
                  <c:v>Suma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'Data for visualizations'!$D$3:$D$25</c:f>
              <c:multiLvlStrCache>
                <c:ptCount val="17"/>
                <c:lvl>
                  <c:pt idx="0">
                    <c:v>IVQ</c:v>
                  </c:pt>
                  <c:pt idx="1">
                    <c:v>IQ</c:v>
                  </c:pt>
                  <c:pt idx="2">
                    <c:v>IIQ</c:v>
                  </c:pt>
                  <c:pt idx="3">
                    <c:v>IIIQ</c:v>
                  </c:pt>
                  <c:pt idx="4">
                    <c:v>IVQ</c:v>
                  </c:pt>
                  <c:pt idx="5">
                    <c:v>IQ</c:v>
                  </c:pt>
                  <c:pt idx="6">
                    <c:v>IIQ</c:v>
                  </c:pt>
                  <c:pt idx="7">
                    <c:v>IIIQ</c:v>
                  </c:pt>
                  <c:pt idx="8">
                    <c:v>IVQ</c:v>
                  </c:pt>
                  <c:pt idx="9">
                    <c:v>IQ</c:v>
                  </c:pt>
                  <c:pt idx="10">
                    <c:v>IIQ</c:v>
                  </c:pt>
                  <c:pt idx="11">
                    <c:v>IIIQ</c:v>
                  </c:pt>
                  <c:pt idx="12">
                    <c:v>IVQ</c:v>
                  </c:pt>
                  <c:pt idx="13">
                    <c:v>IQ</c:v>
                  </c:pt>
                  <c:pt idx="14">
                    <c:v>IIQ</c:v>
                  </c:pt>
                  <c:pt idx="15">
                    <c:v>IIIQ</c:v>
                  </c:pt>
                  <c:pt idx="16">
                    <c:v>IVQ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  <c:pt idx="5">
                    <c:v>2022</c:v>
                  </c:pt>
                  <c:pt idx="9">
                    <c:v>2023</c:v>
                  </c:pt>
                  <c:pt idx="13">
                    <c:v>2024</c:v>
                  </c:pt>
                </c:lvl>
              </c:multiLvlStrCache>
            </c:multiLvlStrRef>
          </c:cat>
          <c:val>
            <c:numRef>
              <c:f>'Data for visualizations'!$E$3:$E$25</c:f>
              <c:numCache>
                <c:formatCode>General</c:formatCode>
                <c:ptCount val="17"/>
                <c:pt idx="0">
                  <c:v>4.67</c:v>
                </c:pt>
                <c:pt idx="1">
                  <c:v>4.9749999999999996</c:v>
                </c:pt>
                <c:pt idx="2">
                  <c:v>5.2100000000000009</c:v>
                </c:pt>
                <c:pt idx="3">
                  <c:v>5.6524999999999999</c:v>
                </c:pt>
                <c:pt idx="4">
                  <c:v>5.7833333333333341</c:v>
                </c:pt>
                <c:pt idx="5">
                  <c:v>6.1960000000000006</c:v>
                </c:pt>
                <c:pt idx="6">
                  <c:v>6.7949999999999999</c:v>
                </c:pt>
                <c:pt idx="7">
                  <c:v>6.6950000000000003</c:v>
                </c:pt>
                <c:pt idx="8">
                  <c:v>6.55</c:v>
                </c:pt>
                <c:pt idx="9">
                  <c:v>6.5950000000000006</c:v>
                </c:pt>
                <c:pt idx="10">
                  <c:v>6.5283333333333333</c:v>
                </c:pt>
                <c:pt idx="11">
                  <c:v>6.37</c:v>
                </c:pt>
                <c:pt idx="12">
                  <c:v>6.1899999999999995</c:v>
                </c:pt>
                <c:pt idx="13">
                  <c:v>6.286666666666668</c:v>
                </c:pt>
                <c:pt idx="14">
                  <c:v>6.54</c:v>
                </c:pt>
                <c:pt idx="15">
                  <c:v>6.1833333333333327</c:v>
                </c:pt>
                <c:pt idx="16">
                  <c:v>6.1025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1939312"/>
        <c:axId val="-1381938224"/>
      </c:lineChart>
      <c:catAx>
        <c:axId val="-138193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38224"/>
        <c:crosses val="autoZero"/>
        <c:auto val="1"/>
        <c:lblAlgn val="ctr"/>
        <c:lblOffset val="100"/>
        <c:noMultiLvlLbl val="0"/>
      </c:catAx>
      <c:valAx>
        <c:axId val="-138193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pl-PL"/>
                  <a:t>Expenses (PLN)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3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 expenses_2020-2024.xlsm]Data for visualizations!Tabela przestawna5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l-PL" b="1"/>
              <a:t>Cost of car insurance for years </a:t>
            </a:r>
            <a:r>
              <a:rPr lang="pl-PL" b="1" baseline="0"/>
              <a:t>2020-2024</a:t>
            </a:r>
            <a:endParaRPr lang="pl-PL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for visualizations'!$H$2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for visualizations'!$G$3:$G$8</c:f>
              <c:strCache>
                <c:ptCount val="5"/>
                <c:pt idx="0">
                  <c:v>OC_2020</c:v>
                </c:pt>
                <c:pt idx="1">
                  <c:v>OC_2021</c:v>
                </c:pt>
                <c:pt idx="2">
                  <c:v>OC_2022</c:v>
                </c:pt>
                <c:pt idx="3">
                  <c:v>OC_2023</c:v>
                </c:pt>
                <c:pt idx="4">
                  <c:v>OC_2024</c:v>
                </c:pt>
              </c:strCache>
            </c:strRef>
          </c:cat>
          <c:val>
            <c:numRef>
              <c:f>'Data for visualizations'!$H$3:$H$8</c:f>
              <c:numCache>
                <c:formatCode>General</c:formatCode>
                <c:ptCount val="5"/>
                <c:pt idx="0">
                  <c:v>1013</c:v>
                </c:pt>
                <c:pt idx="1">
                  <c:v>1014</c:v>
                </c:pt>
                <c:pt idx="2">
                  <c:v>835</c:v>
                </c:pt>
                <c:pt idx="3">
                  <c:v>1162</c:v>
                </c:pt>
                <c:pt idx="4">
                  <c:v>1372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381936048"/>
        <c:axId val="-1381937136"/>
      </c:barChart>
      <c:catAx>
        <c:axId val="-138193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37136"/>
        <c:crosses val="autoZero"/>
        <c:auto val="1"/>
        <c:lblAlgn val="ctr"/>
        <c:lblOffset val="100"/>
        <c:noMultiLvlLbl val="0"/>
      </c:catAx>
      <c:valAx>
        <c:axId val="-138193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pl-PL"/>
                  <a:t>Expenses (PLN)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l-PL"/>
          </a:p>
        </c:txPr>
        <c:crossAx val="-138193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l-PL"/>
              <a:t>Expenses across</a:t>
            </a:r>
            <a:r>
              <a:rPr lang="pl-PL" baseline="0"/>
              <a:t> the years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'Data for visualizations'!$K$2</c:f>
              <c:strCache>
                <c:ptCount val="1"/>
                <c:pt idx="0">
                  <c:v>Sum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 for visualizations'!$J$3:$J$7</c:f>
              <c:strCach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strCache>
            </c:strRef>
          </c:cat>
          <c:val>
            <c:numRef>
              <c:f>'Data for visualizations'!$K$3:$K$7</c:f>
              <c:numCache>
                <c:formatCode>General</c:formatCode>
                <c:ptCount val="5"/>
                <c:pt idx="0">
                  <c:v>13963</c:v>
                </c:pt>
                <c:pt idx="1">
                  <c:v>5023</c:v>
                </c:pt>
                <c:pt idx="2">
                  <c:v>4413</c:v>
                </c:pt>
                <c:pt idx="3">
                  <c:v>6985</c:v>
                </c:pt>
                <c:pt idx="4">
                  <c:v>6077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25000"/>
          <a:lumOff val="75000"/>
        </a:sys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209550</xdr:colOff>
      <xdr:row>82</xdr:row>
      <xdr:rowOff>66675</xdr:rowOff>
    </xdr:from>
    <xdr:to>
      <xdr:col>19</xdr:col>
      <xdr:colOff>571499</xdr:colOff>
      <xdr:row>94</xdr:row>
      <xdr:rowOff>167640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Da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08030" y="15687675"/>
              <a:ext cx="3181349" cy="2386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są obsługiwane w programie Excel 2013 i jego nowszych wersjach.
Jeśli kształt został zmodyfikowany w starszej wersji programu Excel lub skoroszyt został zapisany w programie Excel 2007 albo w starszej wersji, nie można używać fragmentatora.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51435</xdr:colOff>
      <xdr:row>118</xdr:row>
      <xdr:rowOff>180975</xdr:rowOff>
    </xdr:from>
    <xdr:to>
      <xdr:col>17</xdr:col>
      <xdr:colOff>158115</xdr:colOff>
      <xdr:row>124</xdr:row>
      <xdr:rowOff>13335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10675" y="22659975"/>
              <a:ext cx="3375660" cy="975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</xdr:colOff>
      <xdr:row>6</xdr:row>
      <xdr:rowOff>55245</xdr:rowOff>
    </xdr:from>
    <xdr:to>
      <xdr:col>19</xdr:col>
      <xdr:colOff>657225</xdr:colOff>
      <xdr:row>20</xdr:row>
      <xdr:rowOff>121920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</xdr:colOff>
      <xdr:row>20</xdr:row>
      <xdr:rowOff>156210</xdr:rowOff>
    </xdr:from>
    <xdr:to>
      <xdr:col>7</xdr:col>
      <xdr:colOff>541020</xdr:colOff>
      <xdr:row>34</xdr:row>
      <xdr:rowOff>121920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586740</xdr:colOff>
      <xdr:row>20</xdr:row>
      <xdr:rowOff>167640</xdr:rowOff>
    </xdr:from>
    <xdr:to>
      <xdr:col>20</xdr:col>
      <xdr:colOff>0</xdr:colOff>
      <xdr:row>34</xdr:row>
      <xdr:rowOff>121920</xdr:rowOff>
    </xdr:to>
    <xdr:graphicFrame macro="">
      <xdr:nvGraphicFramePr>
        <xdr:cNvPr id="5" name="Wykres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60960</xdr:colOff>
      <xdr:row>34</xdr:row>
      <xdr:rowOff>160020</xdr:rowOff>
    </xdr:from>
    <xdr:to>
      <xdr:col>10</xdr:col>
      <xdr:colOff>106680</xdr:colOff>
      <xdr:row>51</xdr:row>
      <xdr:rowOff>182880</xdr:rowOff>
    </xdr:to>
    <xdr:graphicFrame macro="">
      <xdr:nvGraphicFramePr>
        <xdr:cNvPr id="7" name="Wykres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Obliczenia%20samochodowe_2020-2024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Obliczenia%20samochodowe_2020-2024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Car%20expenses_2020-2024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5676.260703472224" createdVersion="5" refreshedVersion="5" minRefreshableVersion="3" recordCount="217">
  <cacheSource type="worksheet">
    <worksheetSource name="Wydatki" r:id="rId2"/>
  </cacheSource>
  <cacheFields count="8">
    <cacheField name="Lp." numFmtId="0">
      <sharedItems containsSemiMixedTypes="0" containsString="0" containsNumber="1" containsInteger="1" minValue="1" maxValue="217"/>
    </cacheField>
    <cacheField name="Wydatek" numFmtId="164">
      <sharedItems containsSemiMixedTypes="0" containsString="0" containsNumber="1" containsInteger="1" minValue="2" maxValue="11500"/>
    </cacheField>
    <cacheField name="Powód wydatku" numFmtId="0">
      <sharedItems/>
    </cacheField>
    <cacheField name="Kategoria" numFmtId="0">
      <sharedItems count="3">
        <s v="Inny wydatek"/>
        <s v="Benzyna"/>
        <s v="Parking"/>
      </sharedItems>
    </cacheField>
    <cacheField name="Data" numFmtId="165">
      <sharedItems containsSemiMixedTypes="0" containsNonDate="0" containsDate="1" containsString="0" minDate="2020-11-24T00:00:00" maxDate="2024-12-28T00:00:00" count="178">
        <d v="2020-11-24T00:00:00"/>
        <d v="2020-11-25T00:00:00"/>
        <d v="2020-11-26T00:00:00"/>
        <d v="2020-12-01T00:00:00"/>
        <d v="2020-12-03T00:00:00"/>
        <d v="2020-12-06T00:00:00"/>
        <d v="2020-12-08T00:00:00"/>
        <d v="2020-12-21T00:00:00"/>
        <d v="2020-12-22T00:00:00"/>
        <d v="2021-01-11T00:00:00"/>
        <d v="2021-01-29T00:00:00"/>
        <d v="2021-02-17T00:00:00"/>
        <d v="2021-02-28T00:00:00"/>
        <d v="2021-03-25T00:00:00"/>
        <d v="2021-03-27T00:00:00"/>
        <d v="2021-03-29T00:00:00"/>
        <d v="2021-04-07T00:00:00"/>
        <d v="2021-04-16T00:00:00"/>
        <d v="2021-04-17T00:00:00"/>
        <d v="2021-04-20T00:00:00"/>
        <d v="2021-04-26T00:00:00"/>
        <d v="2021-05-04T00:00:00"/>
        <d v="2021-05-15T00:00:00"/>
        <d v="2021-05-24T00:00:00"/>
        <d v="2021-06-01T00:00:00"/>
        <d v="2021-06-05T00:00:00"/>
        <d v="2021-06-10T00:00:00"/>
        <d v="2021-06-16T00:00:00"/>
        <d v="2021-06-17T00:00:00"/>
        <d v="2021-06-25T00:00:00"/>
        <d v="2021-07-02T00:00:00"/>
        <d v="2021-07-13T00:00:00"/>
        <d v="2021-07-24T00:00:00"/>
        <d v="2021-08-18T00:00:00"/>
        <d v="2021-08-23T00:00:00"/>
        <d v="2021-08-27T00:00:00"/>
        <d v="2021-09-25T00:00:00"/>
        <d v="2021-09-29T00:00:00"/>
        <d v="2021-10-06T00:00:00"/>
        <d v="2021-10-08T00:00:00"/>
        <d v="2021-10-13T00:00:00"/>
        <d v="2021-10-25T00:00:00"/>
        <d v="2021-11-17T00:00:00"/>
        <d v="2021-11-22T00:00:00"/>
        <d v="2021-11-26T00:00:00"/>
        <d v="2021-11-27T00:00:00"/>
        <d v="2021-11-29T00:00:00"/>
        <d v="2021-12-02T00:00:00"/>
        <d v="2021-12-13T00:00:00"/>
        <d v="2021-12-22T00:00:00"/>
        <d v="2021-12-24T00:00:00"/>
        <d v="2021-12-31T00:00:00"/>
        <d v="2022-01-05T00:00:00"/>
        <d v="2022-01-12T00:00:00"/>
        <d v="2022-02-17T00:00:00"/>
        <d v="2022-02-14T00:00:00"/>
        <d v="2022-03-07T00:00:00"/>
        <d v="2022-03-08T00:00:00"/>
        <d v="2022-03-17T00:00:00"/>
        <d v="2022-03-29T00:00:00"/>
        <d v="2022-04-16T00:00:00"/>
        <d v="2022-05-02T00:00:00"/>
        <d v="2022-05-21T00:00:00"/>
        <d v="2022-06-17T00:00:00"/>
        <d v="2022-07-05T00:00:00"/>
        <d v="2022-07-22T00:00:00"/>
        <d v="2022-08-19T00:00:00"/>
        <d v="2022-09-01T00:00:00"/>
        <d v="2022-09-22T00:00:00"/>
        <d v="2022-09-23T00:00:00"/>
        <d v="2022-09-25T00:00:00"/>
        <d v="2022-10-16T00:00:00"/>
        <d v="2022-10-18T00:00:00"/>
        <d v="2022-10-30T00:00:00"/>
        <d v="2022-10-31T00:00:00"/>
        <d v="2022-11-01T00:00:00"/>
        <d v="2022-11-05T00:00:00"/>
        <d v="2022-11-06T00:00:00"/>
        <d v="2022-11-13T00:00:00"/>
        <d v="2022-11-20T00:00:00"/>
        <d v="2022-11-26T00:00:00"/>
        <d v="2022-11-27T00:00:00"/>
        <d v="2022-12-16T00:00:00"/>
        <d v="2022-12-01T00:00:00"/>
        <d v="2022-12-27T00:00:00"/>
        <d v="2022-12-28T00:00:00"/>
        <d v="2023-01-14T00:00:00"/>
        <d v="2023-01-15T00:00:00"/>
        <d v="2023-01-22T00:00:00"/>
        <d v="2023-01-23T00:00:00"/>
        <d v="2023-02-18T00:00:00"/>
        <d v="2023-02-19T00:00:00"/>
        <d v="2023-03-08T00:00:00"/>
        <d v="2023-03-14T00:00:00"/>
        <d v="2023-03-25T00:00:00"/>
        <d v="2023-04-03T00:00:00"/>
        <d v="2023-04-07T00:00:00"/>
        <d v="2023-04-10T00:00:00"/>
        <d v="2023-04-14T00:00:00"/>
        <d v="2023-04-15T00:00:00"/>
        <d v="2023-04-22T00:00:00"/>
        <d v="2023-04-28T00:00:00"/>
        <d v="2023-04-30T00:00:00"/>
        <d v="2023-05-06T00:00:00"/>
        <d v="2023-05-20T00:00:00"/>
        <d v="2023-05-27T00:00:00"/>
        <d v="2023-05-29T00:00:00"/>
        <d v="2023-06-25T00:00:00"/>
        <d v="2023-07-01T00:00:00"/>
        <d v="2023-07-17T00:00:00"/>
        <d v="2023-07-18T00:00:00"/>
        <d v="2023-08-01T00:00:00"/>
        <d v="2023-08-03T00:00:00"/>
        <d v="2023-08-12T00:00:00"/>
        <d v="2023-08-26T00:00:00"/>
        <d v="2023-09-01T00:00:00"/>
        <d v="2023-09-04T00:00:00"/>
        <d v="2023-09-16T00:00:00"/>
        <d v="2023-09-17T00:00:00"/>
        <d v="2023-09-29T00:00:00"/>
        <d v="2023-09-30T00:00:00"/>
        <d v="2023-10-01T00:00:00"/>
        <d v="2023-10-09T00:00:00"/>
        <d v="2023-10-12T00:00:00"/>
        <d v="2023-10-18T00:00:00"/>
        <d v="2023-10-21T00:00:00"/>
        <d v="2023-10-25T00:00:00"/>
        <d v="2023-10-26T00:00:00"/>
        <d v="2023-11-02T00:00:00"/>
        <d v="2023-11-08T00:00:00"/>
        <d v="2023-11-09T00:00:00"/>
        <d v="2023-11-10T00:00:00"/>
        <d v="2023-11-27T00:00:00"/>
        <d v="2023-11-30T00:00:00"/>
        <d v="2023-12-07T00:00:00"/>
        <d v="2023-12-16T00:00:00"/>
        <d v="2023-12-24T00:00:00"/>
        <d v="2024-01-02T00:00:00"/>
        <d v="2024-01-03T00:00:00"/>
        <d v="2024-01-30T00:00:00"/>
        <d v="2024-02-16T00:00:00"/>
        <d v="2024-02-18T00:00:00"/>
        <d v="2024-03-01T00:00:00"/>
        <d v="2024-03-08T00:00:00"/>
        <d v="2024-03-09T00:00:00"/>
        <d v="2024-03-29T00:00:00"/>
        <d v="2024-04-05T00:00:00"/>
        <d v="2024-04-22T00:00:00"/>
        <d v="2024-04-25T00:00:00"/>
        <d v="2024-05-05T00:00:00"/>
        <d v="2024-05-18T00:00:00"/>
        <d v="2024-05-19T00:00:00"/>
        <d v="2024-05-27T00:00:00"/>
        <d v="2024-06-01T00:00:00"/>
        <d v="2024-06-14T00:00:00"/>
        <d v="2024-06-29T00:00:00"/>
        <d v="2024-07-13T00:00:00"/>
        <d v="2024-07-14T00:00:00"/>
        <d v="2024-07-21T00:00:00"/>
        <d v="2024-08-12T00:00:00"/>
        <d v="2024-09-04T00:00:00"/>
        <d v="2024-09-14T00:00:00"/>
        <d v="2024-09-24T00:00:00"/>
        <d v="2024-09-29T00:00:00"/>
        <d v="2024-10-04T00:00:00"/>
        <d v="2024-10-12T00:00:00"/>
        <d v="2024-10-13T00:00:00"/>
        <d v="2024-10-31T00:00:00"/>
        <d v="2024-11-13T00:00:00"/>
        <d v="2024-11-15T00:00:00"/>
        <d v="2024-11-25T00:00:00"/>
        <d v="2024-12-06T00:00:00"/>
        <d v="2024-12-13T00:00:00"/>
        <d v="2024-12-18T00:00:00"/>
        <d v="2024-12-21T00:00:00"/>
        <d v="2024-12-22T00:00:00"/>
        <d v="2024-12-25T00:00:00"/>
        <d v="2024-12-27T00:00:00"/>
      </sharedItems>
      <fieldGroup par="7" base="4">
        <rangePr groupBy="months" startDate="2020-11-24T00:00:00" endDate="2024-12-28T00:00:00"/>
        <groupItems count="14">
          <s v="&lt;24.11.2020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28.12.2024"/>
        </groupItems>
      </fieldGroup>
    </cacheField>
    <cacheField name="Lokalizacja przy zakupie" numFmtId="165">
      <sharedItems/>
    </cacheField>
    <cacheField name="Cena benzyny" numFmtId="166">
      <sharedItems containsMixedTypes="1" containsNumber="1" minValue="4.6691176470588234" maxValue="7.6221498371335503"/>
    </cacheField>
    <cacheField name="Lata" numFmtId="0" databaseField="0">
      <fieldGroup base="4">
        <rangePr groupBy="years" startDate="2020-11-24T00:00:00" endDate="2024-12-28T00:00:00"/>
        <groupItems count="7">
          <s v="&lt;24.11.2020"/>
          <s v="2020"/>
          <s v="2021"/>
          <s v="2022"/>
          <s v="2023"/>
          <s v="2024"/>
          <s v="&gt;28.12.2024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5676.26072337963" createdVersion="5" refreshedVersion="5" minRefreshableVersion="3" recordCount="84">
  <cacheSource type="worksheet">
    <worksheetSource ref="I11:M95" sheet="Arkusz_obliczeniowy" r:id="rId2"/>
  </cacheSource>
  <cacheFields count="6">
    <cacheField name="Lp." numFmtId="0">
      <sharedItems containsSemiMixedTypes="0" containsString="0" containsNumber="1" containsInteger="1" minValue="4" maxValue="216"/>
    </cacheField>
    <cacheField name="Wydatek" numFmtId="0">
      <sharedItems containsSemiMixedTypes="0" containsString="0" containsNumber="1" containsInteger="1" minValue="64" maxValue="234"/>
    </cacheField>
    <cacheField name="Powód wydatku" numFmtId="0">
      <sharedItems/>
    </cacheField>
    <cacheField name="Data" numFmtId="14">
      <sharedItems containsSemiMixedTypes="0" containsNonDate="0" containsDate="1" containsString="0" minDate="2020-11-25T00:00:00" maxDate="2024-12-28T00:00:00" count="82">
        <d v="2020-11-25T00:00:00"/>
        <d v="2020-12-22T00:00:00"/>
        <d v="2021-01-11T00:00:00"/>
        <d v="2021-02-17T00:00:00"/>
        <d v="2021-02-28T00:00:00"/>
        <d v="2021-03-27T00:00:00"/>
        <d v="2021-05-04T00:00:00"/>
        <d v="2021-05-24T00:00:00"/>
        <d v="2021-07-02T00:00:00"/>
        <d v="2021-07-24T00:00:00"/>
        <d v="2021-08-27T00:00:00"/>
        <d v="2021-09-29T00:00:00"/>
        <d v="2021-12-02T00:00:00"/>
        <d v="2021-12-22T00:00:00"/>
        <d v="2021-12-31T00:00:00"/>
        <d v="2022-01-12T00:00:00"/>
        <d v="2022-02-14T00:00:00"/>
        <d v="2022-03-07T00:00:00"/>
        <d v="2022-03-08T00:00:00"/>
        <d v="2022-03-29T00:00:00"/>
        <d v="2022-04-16T00:00:00"/>
        <d v="2022-05-21T00:00:00"/>
        <d v="2022-07-05T00:00:00"/>
        <d v="2022-08-19T00:00:00"/>
        <d v="2022-09-01T00:00:00"/>
        <d v="2022-09-25T00:00:00"/>
        <d v="2022-10-18T00:00:00"/>
        <d v="2022-11-01T00:00:00"/>
        <d v="2022-11-13T00:00:00"/>
        <d v="2022-12-16T00:00:00"/>
        <d v="2022-12-27T00:00:00"/>
        <d v="2023-01-23T00:00:00"/>
        <d v="2023-02-18T00:00:00"/>
        <d v="2023-03-14T00:00:00"/>
        <d v="2023-03-25T00:00:00"/>
        <d v="2023-04-07T00:00:00"/>
        <d v="2023-04-14T00:00:00"/>
        <d v="2023-04-30T00:00:00"/>
        <d v="2023-05-06T00:00:00"/>
        <d v="2023-05-20T00:00:00"/>
        <d v="2023-05-29T00:00:00"/>
        <d v="2023-07-01T00:00:00"/>
        <d v="2023-07-18T00:00:00"/>
        <d v="2023-08-01T00:00:00"/>
        <d v="2023-08-12T00:00:00"/>
        <d v="2023-08-26T00:00:00"/>
        <d v="2023-09-01T00:00:00"/>
        <d v="2023-09-16T00:00:00"/>
        <d v="2023-09-29T00:00:00"/>
        <d v="2023-10-01T00:00:00"/>
        <d v="2023-10-18T00:00:00"/>
        <d v="2023-10-21T00:00:00"/>
        <d v="2023-10-26T00:00:00"/>
        <d v="2023-11-02T00:00:00"/>
        <d v="2023-11-10T00:00:00"/>
        <d v="2023-11-27T00:00:00"/>
        <d v="2023-12-24T00:00:00"/>
        <d v="2024-01-02T00:00:00"/>
        <d v="2024-01-30T00:00:00"/>
        <d v="2024-02-16T00:00:00"/>
        <d v="2024-03-01T00:00:00"/>
        <d v="2024-03-08T00:00:00"/>
        <d v="2024-03-29T00:00:00"/>
        <d v="2024-04-05T00:00:00"/>
        <d v="2024-04-22T00:00:00"/>
        <d v="2024-05-19T00:00:00"/>
        <d v="2024-06-01T00:00:00"/>
        <d v="2024-06-14T00:00:00"/>
        <d v="2024-06-29T00:00:00"/>
        <d v="2024-07-14T00:00:00"/>
        <d v="2024-07-21T00:00:00"/>
        <d v="2024-08-12T00:00:00"/>
        <d v="2024-09-04T00:00:00"/>
        <d v="2024-09-14T00:00:00"/>
        <d v="2024-09-29T00:00:00"/>
        <d v="2024-10-04T00:00:00"/>
        <d v="2024-10-13T00:00:00"/>
        <d v="2024-10-31T00:00:00"/>
        <d v="2024-11-15T00:00:00"/>
        <d v="2024-12-18T00:00:00"/>
        <d v="2024-12-22T00:00:00"/>
        <d v="2024-12-27T00:00:00"/>
      </sharedItems>
      <fieldGroup par="5" base="3">
        <rangePr groupBy="quarters" startDate="2020-11-25T00:00:00" endDate="2024-12-28T00:00:00"/>
        <groupItems count="6">
          <s v="&lt;25.11.2020"/>
          <s v="Kwartał1"/>
          <s v="Kwartał2"/>
          <s v="Kwartał3"/>
          <s v="Kwartał4"/>
          <s v="&gt;28.12.2024"/>
        </groupItems>
      </fieldGroup>
    </cacheField>
    <cacheField name="Cena benzyny" numFmtId="0">
      <sharedItems containsSemiMixedTypes="0" containsString="0" containsNumber="1" minValue="4.67" maxValue="7.62"/>
    </cacheField>
    <cacheField name="Lata" numFmtId="0" databaseField="0">
      <fieldGroup base="3">
        <rangePr groupBy="years" startDate="2020-11-25T00:00:00" endDate="2024-12-28T00:00:00"/>
        <groupItems count="7">
          <s v="&lt;25.11.2020"/>
          <s v="2020"/>
          <s v="2021"/>
          <s v="2022"/>
          <s v="2023"/>
          <s v="2024"/>
          <s v="&gt;28.12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5676.817823611113" createdVersion="5" refreshedVersion="5" minRefreshableVersion="3" recordCount="16">
  <cacheSource type="worksheet">
    <worksheetSource ref="O11:S27" sheet="Arkusz_obliczeniowy" r:id="rId2"/>
  </cacheSource>
  <cacheFields count="5">
    <cacheField name="Lp." numFmtId="0">
      <sharedItems containsSemiMixedTypes="0" containsString="0" containsNumber="1" containsInteger="1" minValue="2" maxValue="207"/>
    </cacheField>
    <cacheField name="Wydatek" numFmtId="0">
      <sharedItems containsSemiMixedTypes="0" containsString="0" containsNumber="1" containsInteger="1" minValue="159" maxValue="11500"/>
    </cacheField>
    <cacheField name="Powód wydatku" numFmtId="0">
      <sharedItems count="17">
        <s v="Samochód"/>
        <s v="Wymiana opon na zimowe + zakup 2 opon zimowych"/>
        <s v="Klocki hamulcowe TRW GDB"/>
        <s v="Tarcze hamulcowe*2"/>
        <s v="OC Komfort + Moto-Assistance Złoty+ + Auto-szyby + OC Szybka wypłata"/>
        <s v="Rejestracja samochodu"/>
        <s v="Fotelik dziecięcy"/>
        <s v="OC Komfort + Warta NNW + Moto-Assistance Złoty+ + Auto-szyby + OC Szybka wypłata"/>
        <s v="Olej silnikowy Synpower MST C3 5W30 4L"/>
        <s v="Wymiana opon na letnie, ozonowanie, dopełnienie klimatyzacji"/>
        <s v="Wymiana czujnika położenia wału korbowego oraz paska wielorowkowego"/>
        <s v="OC + Holowanie pojazdu + Szyby + Telefoniczny Asystent Prawny + Car Assistance - Wypadek + Car Assistance - Awaria_1"/>
        <s v="Wymiana akumulatora (akumulator, wstawienie, utylizacja)"/>
        <s v="Mechanik (wymiana śrub układu oddechowego = 17,46 + wymiana uszczelki kolektora dolotowego (52,31) i uszczelki pokrywy zaworów (69,85) i cewki zapłonowej (171,93) i usługa (100) + wymiana opon = 60 + konserwacja podwozia = 300"/>
        <s v="OC + Holowanie pojazdu + Szyby + Telefoniczny Asystent Prawny + Car Assistance - Wypadek + Car Assistance - Awaria_2"/>
        <s v="OC + Holowanie pojazdu + Szyby + Telefoniczny Asystent Prawny + Car Assistance - Wypadek + Car Assistance - Awaria_3"/>
        <s v="OC + Holowanie pojazdu + Szyby + Telefoniczny Asystent Prawny + Car Assistance - Wypadek + Car Assistance - Awaria" u="1"/>
      </sharedItems>
    </cacheField>
    <cacheField name="Data" numFmtId="14">
      <sharedItems containsSemiMixedTypes="0" containsNonDate="0" containsDate="1" containsString="0" minDate="2020-11-25T00:00:00" maxDate="2024-11-14T00:00:00"/>
    </cacheField>
    <cacheField name="Cena benzyn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7">
  <r>
    <n v="1"/>
    <n v="100"/>
    <s v="Diagnostyka przed zakupem"/>
    <x v="0"/>
    <x v="0"/>
    <s v="Inna miejscowość"/>
    <s v=""/>
  </r>
  <r>
    <n v="2"/>
    <n v="11500"/>
    <s v="Samochód"/>
    <x v="0"/>
    <x v="1"/>
    <s v="Inna miejscowość"/>
    <s v=""/>
  </r>
  <r>
    <n v="3"/>
    <n v="30"/>
    <s v="Płyn do spryskiwaczy - zima"/>
    <x v="0"/>
    <x v="1"/>
    <s v="Inna miejscowość"/>
    <s v=""/>
  </r>
  <r>
    <n v="4"/>
    <n v="158"/>
    <s v="Benzyna 33,8l"/>
    <x v="1"/>
    <x v="1"/>
    <s v="Inna miejscowość"/>
    <n v="4.6745562130177518"/>
  </r>
  <r>
    <n v="5"/>
    <n v="250"/>
    <s v="Wymiana opon na zimowe + zakup 2 opon zimowych"/>
    <x v="0"/>
    <x v="2"/>
    <s v="Inna miejscowość"/>
    <s v=""/>
  </r>
  <r>
    <n v="6"/>
    <n v="60"/>
    <s v="Zestaw wszystkich żarówek"/>
    <x v="0"/>
    <x v="2"/>
    <s v="Inna miejscowość"/>
    <s v=""/>
  </r>
  <r>
    <n v="7"/>
    <n v="60"/>
    <s v="Parking Jeżyce 01.12.2020 - 28.01.2021"/>
    <x v="2"/>
    <x v="3"/>
    <s v="Poznań"/>
    <s v=""/>
  </r>
  <r>
    <n v="8"/>
    <n v="79"/>
    <s v="Geometria/zbieżność"/>
    <x v="0"/>
    <x v="4"/>
    <s v="Inna miejscowość"/>
    <s v=""/>
  </r>
  <r>
    <n v="9"/>
    <n v="159"/>
    <s v="Klocki hamulcowe TRW GDB"/>
    <x v="0"/>
    <x v="4"/>
    <s v="Inna miejscowość"/>
    <s v=""/>
  </r>
  <r>
    <n v="10"/>
    <n v="298"/>
    <s v="Tarcze hamulcowe*2"/>
    <x v="0"/>
    <x v="4"/>
    <s v="Inna miejscowość"/>
    <s v=""/>
  </r>
  <r>
    <n v="11"/>
    <n v="1013"/>
    <s v="OC Komfort + Moto-Assistance Złoty + Auto-szyby + OC Szybka wypłata"/>
    <x v="0"/>
    <x v="4"/>
    <s v="Inna miejscowość"/>
    <s v=""/>
  </r>
  <r>
    <n v="12"/>
    <n v="45"/>
    <s v="Chwytak na telefon"/>
    <x v="0"/>
    <x v="5"/>
    <s v="Poznań"/>
    <s v=""/>
  </r>
  <r>
    <n v="13"/>
    <n v="69"/>
    <s v="Transmiter FM"/>
    <x v="0"/>
    <x v="6"/>
    <s v="Poznań"/>
    <s v=""/>
  </r>
  <r>
    <n v="14"/>
    <n v="15"/>
    <s v="Myjnia ręczna"/>
    <x v="0"/>
    <x v="7"/>
    <s v="Poznań"/>
    <s v=""/>
  </r>
  <r>
    <n v="15"/>
    <n v="127"/>
    <s v="Benzyna 27,2l"/>
    <x v="1"/>
    <x v="8"/>
    <s v="Poznań"/>
    <n v="4.6691176470588234"/>
  </r>
  <r>
    <n v="16"/>
    <n v="133"/>
    <s v="Benzyna 28,2l"/>
    <x v="1"/>
    <x v="9"/>
    <s v="Poznań"/>
    <n v="4.7163120567375891"/>
  </r>
  <r>
    <n v="17"/>
    <n v="210"/>
    <s v="Parking Jeżyce 01.02.2021 - 28.08.2021"/>
    <x v="2"/>
    <x v="10"/>
    <s v="Poznań"/>
    <s v=""/>
  </r>
  <r>
    <n v="18"/>
    <n v="181"/>
    <s v="Rejestracja samochodu"/>
    <x v="0"/>
    <x v="10"/>
    <s v="Poznań"/>
    <s v=""/>
  </r>
  <r>
    <n v="19"/>
    <n v="139"/>
    <s v="Benzyna 28,3l"/>
    <x v="1"/>
    <x v="11"/>
    <s v="Poznań"/>
    <n v="4.9116607773851593"/>
  </r>
  <r>
    <n v="20"/>
    <n v="139"/>
    <s v="Benzyna 27,6l"/>
    <x v="1"/>
    <x v="12"/>
    <s v="Poznań"/>
    <n v="5.0362318840579707"/>
  </r>
  <r>
    <n v="21"/>
    <n v="15"/>
    <s v="Szampon+wosk"/>
    <x v="0"/>
    <x v="12"/>
    <s v="Poznań"/>
    <s v=""/>
  </r>
  <r>
    <n v="22"/>
    <n v="7"/>
    <s v="Parking 1h"/>
    <x v="2"/>
    <x v="13"/>
    <s v="Poznań"/>
    <s v=""/>
  </r>
  <r>
    <n v="23"/>
    <n v="162"/>
    <s v="Benzyna 31l"/>
    <x v="1"/>
    <x v="14"/>
    <s v="Inna miejscowość"/>
    <s v=""/>
  </r>
  <r>
    <n v="24"/>
    <n v="4"/>
    <s v="Parking 1h"/>
    <x v="2"/>
    <x v="15"/>
    <s v="Inna miejscowość"/>
    <s v=""/>
  </r>
  <r>
    <n v="25"/>
    <n v="7"/>
    <s v="Parking 1h"/>
    <x v="2"/>
    <x v="16"/>
    <s v="Poznań"/>
    <s v=""/>
  </r>
  <r>
    <n v="26"/>
    <n v="4"/>
    <s v="Parking 1h"/>
    <x v="2"/>
    <x v="17"/>
    <s v="Poznań"/>
    <s v=""/>
  </r>
  <r>
    <n v="27"/>
    <n v="7"/>
    <s v="Parking 1h"/>
    <x v="2"/>
    <x v="18"/>
    <s v="Poznań"/>
    <s v=""/>
  </r>
  <r>
    <n v="28"/>
    <n v="3"/>
    <s v="Parking 1h"/>
    <x v="2"/>
    <x v="19"/>
    <s v="Poznań"/>
    <s v=""/>
  </r>
  <r>
    <n v="29"/>
    <n v="8"/>
    <s v="Parking 2h"/>
    <x v="2"/>
    <x v="20"/>
    <s v="Poznań"/>
    <s v=""/>
  </r>
  <r>
    <n v="30"/>
    <n v="137"/>
    <s v="Benzyna 25,2l"/>
    <x v="1"/>
    <x v="21"/>
    <s v="Poznań"/>
    <n v="5.4365079365079367"/>
  </r>
  <r>
    <n v="31"/>
    <n v="60"/>
    <s v="Wymiana opon na letnie"/>
    <x v="0"/>
    <x v="21"/>
    <s v="Inna miejscowość"/>
    <s v=""/>
  </r>
  <r>
    <n v="32"/>
    <n v="100"/>
    <s v="Przegląd"/>
    <x v="0"/>
    <x v="21"/>
    <s v="Poznań"/>
    <s v=""/>
  </r>
  <r>
    <n v="33"/>
    <n v="5"/>
    <s v="Parking 2h"/>
    <x v="2"/>
    <x v="22"/>
    <s v="Poznań"/>
    <s v=""/>
  </r>
  <r>
    <n v="34"/>
    <n v="164"/>
    <s v="Benzyna 32,9l"/>
    <x v="1"/>
    <x v="23"/>
    <s v="Poznań"/>
    <n v="4.9848024316109427"/>
  </r>
  <r>
    <n v="35"/>
    <n v="7"/>
    <s v="Parking 1h"/>
    <x v="2"/>
    <x v="24"/>
    <s v="Poznań"/>
    <s v=""/>
  </r>
  <r>
    <n v="36"/>
    <n v="7"/>
    <s v="Parking 1h"/>
    <x v="2"/>
    <x v="25"/>
    <s v="Poznań"/>
    <s v=""/>
  </r>
  <r>
    <n v="37"/>
    <n v="7"/>
    <s v="Parking 1h"/>
    <x v="2"/>
    <x v="26"/>
    <s v="Poznań"/>
    <s v=""/>
  </r>
  <r>
    <n v="38"/>
    <n v="14"/>
    <s v="Parking 2h"/>
    <x v="2"/>
    <x v="27"/>
    <s v="Poznań"/>
    <s v=""/>
  </r>
  <r>
    <n v="39"/>
    <n v="7"/>
    <s v="Parking 1h"/>
    <x v="2"/>
    <x v="28"/>
    <s v="Poznań"/>
    <s v=""/>
  </r>
  <r>
    <n v="40"/>
    <n v="7"/>
    <s v="Parking 1h"/>
    <x v="2"/>
    <x v="29"/>
    <s v="Poznań"/>
    <s v=""/>
  </r>
  <r>
    <n v="41"/>
    <n v="176"/>
    <s v="Benzyna 31,1l"/>
    <x v="1"/>
    <x v="30"/>
    <s v="Poznań"/>
    <n v="5.6591639871382631"/>
  </r>
  <r>
    <n v="42"/>
    <n v="3"/>
    <s v="Parking 1h"/>
    <x v="2"/>
    <x v="31"/>
    <s v="Poznań"/>
    <s v=""/>
  </r>
  <r>
    <n v="43"/>
    <n v="149"/>
    <s v="Benzyna 27,1l"/>
    <x v="1"/>
    <x v="32"/>
    <s v="Poznań"/>
    <n v="5.4981549815498152"/>
  </r>
  <r>
    <n v="44"/>
    <n v="180"/>
    <s v="Parking Jeżyce 30.08.2021 - ??.02.2022"/>
    <x v="2"/>
    <x v="33"/>
    <s v="Poznań"/>
    <s v=""/>
  </r>
  <r>
    <n v="45"/>
    <n v="15"/>
    <s v="Parking 2h"/>
    <x v="2"/>
    <x v="34"/>
    <s v="Inna miejscowość"/>
    <s v=""/>
  </r>
  <r>
    <n v="46"/>
    <n v="129"/>
    <s v="Benzyna 22,9l"/>
    <x v="1"/>
    <x v="35"/>
    <s v="Inna miejscowość"/>
    <n v="5.6331877729257647"/>
  </r>
  <r>
    <n v="47"/>
    <n v="650"/>
    <s v="Fotelik dziecięcy"/>
    <x v="0"/>
    <x v="36"/>
    <s v="Poznań"/>
    <s v=""/>
  </r>
  <r>
    <n v="48"/>
    <n v="153"/>
    <s v="Benzyna 26,3"/>
    <x v="1"/>
    <x v="37"/>
    <s v="Poznań"/>
    <n v="5.8174904942965782"/>
  </r>
  <r>
    <n v="49"/>
    <n v="3"/>
    <s v="Parking 1h"/>
    <x v="2"/>
    <x v="38"/>
    <s v="Poznań"/>
    <s v=""/>
  </r>
  <r>
    <n v="50"/>
    <n v="5"/>
    <s v="Parking 1h"/>
    <x v="2"/>
    <x v="39"/>
    <s v="Poznań"/>
    <s v=""/>
  </r>
  <r>
    <n v="51"/>
    <n v="5"/>
    <s v="Parking 1h"/>
    <x v="2"/>
    <x v="40"/>
    <s v="Poznań"/>
    <s v=""/>
  </r>
  <r>
    <n v="52"/>
    <n v="2"/>
    <s v="Parking 15m"/>
    <x v="2"/>
    <x v="41"/>
    <s v="Poznań"/>
    <s v=""/>
  </r>
  <r>
    <n v="53"/>
    <n v="4"/>
    <s v="Parking 1h"/>
    <x v="2"/>
    <x v="42"/>
    <s v="Poznań"/>
    <s v=""/>
  </r>
  <r>
    <n v="54"/>
    <n v="1014"/>
    <s v="OC Komfort + Warta NNW + Moto-Assistance Złoty + Auto-szyby + OC Szybka wypłata"/>
    <x v="0"/>
    <x v="42"/>
    <s v="Poznań"/>
    <s v=""/>
  </r>
  <r>
    <n v="55"/>
    <n v="19"/>
    <s v="Myjnia ręczna"/>
    <x v="0"/>
    <x v="43"/>
    <s v="Poznań"/>
    <s v=""/>
  </r>
  <r>
    <n v="56"/>
    <n v="7"/>
    <s v="Parking 1h"/>
    <x v="2"/>
    <x v="44"/>
    <s v="Poznań"/>
    <s v=""/>
  </r>
  <r>
    <n v="57"/>
    <n v="6"/>
    <s v="Srebrna mata na szybę"/>
    <x v="0"/>
    <x v="45"/>
    <s v="Poznań"/>
    <s v=""/>
  </r>
  <r>
    <n v="58"/>
    <n v="14"/>
    <s v="Szczotko-skrobaczka"/>
    <x v="0"/>
    <x v="45"/>
    <s v="Poznań"/>
    <s v=""/>
  </r>
  <r>
    <n v="59"/>
    <n v="13"/>
    <s v="Wycieraczka 350"/>
    <x v="0"/>
    <x v="45"/>
    <s v="Poznań"/>
    <s v=""/>
  </r>
  <r>
    <n v="60"/>
    <n v="13"/>
    <s v="Wycieraczka 600"/>
    <x v="0"/>
    <x v="45"/>
    <s v="Poznań"/>
    <s v=""/>
  </r>
  <r>
    <n v="61"/>
    <n v="5"/>
    <s v="Parking 1h"/>
    <x v="2"/>
    <x v="46"/>
    <s v="Poznań"/>
    <s v=""/>
  </r>
  <r>
    <n v="62"/>
    <n v="206"/>
    <s v="Benzyna 34,5"/>
    <x v="1"/>
    <x v="47"/>
    <s v="Poznań"/>
    <n v="5.9710144927536231"/>
  </r>
  <r>
    <n v="63"/>
    <n v="25"/>
    <s v="Filtr oleju Knecht OC617"/>
    <x v="0"/>
    <x v="47"/>
    <s v="Inna miejscowość"/>
    <s v=""/>
  </r>
  <r>
    <n v="64"/>
    <n v="28"/>
    <s v="Filtr powietrza JC Premium B24060PR"/>
    <x v="0"/>
    <x v="47"/>
    <s v="Inna miejscowość"/>
    <s v=""/>
  </r>
  <r>
    <n v="65"/>
    <n v="39"/>
    <s v="Filtr kabionwy Knecht LA155"/>
    <x v="0"/>
    <x v="47"/>
    <s v="Inna miejscowość"/>
    <s v=""/>
  </r>
  <r>
    <n v="66"/>
    <n v="171"/>
    <s v="Olej silnikowy Synpower MST C3 5W30 4L"/>
    <x v="0"/>
    <x v="47"/>
    <s v="Inna miejscowość"/>
    <s v=""/>
  </r>
  <r>
    <n v="67"/>
    <n v="50"/>
    <s v="Wymiana filtrów i oleju"/>
    <x v="0"/>
    <x v="47"/>
    <s v="Inna miejscowość"/>
    <s v=""/>
  </r>
  <r>
    <n v="68"/>
    <n v="65"/>
    <s v="Wymiana i naprawa opon (naprawa jednej opony, gwódź)"/>
    <x v="0"/>
    <x v="47"/>
    <s v="Inna miejscowość"/>
    <s v=""/>
  </r>
  <r>
    <n v="69"/>
    <n v="4"/>
    <s v="Parking 1h"/>
    <x v="2"/>
    <x v="48"/>
    <s v="Poznań"/>
    <s v=""/>
  </r>
  <r>
    <n v="70"/>
    <n v="7"/>
    <s v="Parking 1h"/>
    <x v="2"/>
    <x v="49"/>
    <s v="Poznań"/>
    <s v=""/>
  </r>
  <r>
    <n v="71"/>
    <n v="161"/>
    <s v="Benzyna 28,3l"/>
    <x v="1"/>
    <x v="49"/>
    <s v="Poznań"/>
    <n v="5.6890459363957593"/>
  </r>
  <r>
    <n v="72"/>
    <n v="8"/>
    <s v="Zestaw bezpieczników"/>
    <x v="0"/>
    <x v="50"/>
    <s v="Poznań"/>
    <s v=""/>
  </r>
  <r>
    <n v="73"/>
    <n v="160"/>
    <s v="Benzyna 28,1l"/>
    <x v="1"/>
    <x v="51"/>
    <s v="Poznań"/>
    <n v="5.6939501779359425"/>
  </r>
  <r>
    <n v="74"/>
    <n v="5"/>
    <s v="Parking"/>
    <x v="2"/>
    <x v="52"/>
    <s v="Poznań"/>
    <s v=""/>
  </r>
  <r>
    <n v="75"/>
    <n v="171"/>
    <s v="Benzyna 30,1l"/>
    <x v="1"/>
    <x v="53"/>
    <s v="Poznań"/>
    <n v="5.6810631229235877"/>
  </r>
  <r>
    <n v="76"/>
    <n v="5"/>
    <s v="Parking"/>
    <x v="2"/>
    <x v="53"/>
    <s v="Poznań"/>
    <s v=""/>
  </r>
  <r>
    <n v="77"/>
    <n v="2"/>
    <s v="Parking"/>
    <x v="2"/>
    <x v="54"/>
    <s v="Poznań"/>
    <s v=""/>
  </r>
  <r>
    <n v="78"/>
    <n v="169"/>
    <s v="Benzyna 31,9l"/>
    <x v="1"/>
    <x v="55"/>
    <s v="Poznań"/>
    <n v="5.2978056426332287"/>
  </r>
  <r>
    <n v="79"/>
    <n v="7"/>
    <s v="Parking"/>
    <x v="2"/>
    <x v="56"/>
    <s v="Poznań"/>
    <s v=""/>
  </r>
  <r>
    <n v="80"/>
    <n v="110"/>
    <s v="Benzyna 16,9l"/>
    <x v="1"/>
    <x v="56"/>
    <s v="Poznań"/>
    <n v="6.5088757396449708"/>
  </r>
  <r>
    <n v="81"/>
    <n v="8"/>
    <s v="Bateria do pilota"/>
    <x v="0"/>
    <x v="57"/>
    <s v="Poznań"/>
    <s v=""/>
  </r>
  <r>
    <n v="82"/>
    <n v="147"/>
    <s v="Benzyna 21,5l"/>
    <x v="1"/>
    <x v="57"/>
    <s v="Inna miejscowość"/>
    <n v="6.8372093023255811"/>
  </r>
  <r>
    <n v="83"/>
    <n v="20"/>
    <s v="Płyn do spryskiwaczy - zima"/>
    <x v="0"/>
    <x v="57"/>
    <s v="Inna miejscowość"/>
    <s v=""/>
  </r>
  <r>
    <n v="84"/>
    <n v="5"/>
    <s v="Parking"/>
    <x v="2"/>
    <x v="58"/>
    <s v="Poznań"/>
    <s v=""/>
  </r>
  <r>
    <n v="85"/>
    <n v="20"/>
    <s v="Parking, SkyCash (wykorzystane)"/>
    <x v="2"/>
    <x v="59"/>
    <s v="Poznań"/>
    <s v=""/>
  </r>
  <r>
    <n v="86"/>
    <n v="222"/>
    <s v="Benzyna 33,4l"/>
    <x v="1"/>
    <x v="59"/>
    <s v="Poznań"/>
    <n v="6.6467065868263475"/>
  </r>
  <r>
    <n v="87"/>
    <n v="189"/>
    <s v="Benzyna 30,1l"/>
    <x v="1"/>
    <x v="60"/>
    <s v="Poznań"/>
    <n v="6.2790697674418601"/>
  </r>
  <r>
    <n v="88"/>
    <n v="99"/>
    <s v="Przegląd"/>
    <x v="0"/>
    <x v="61"/>
    <s v="Poznań"/>
    <s v=""/>
  </r>
  <r>
    <n v="89"/>
    <n v="180"/>
    <s v="Wymiana opon na letnie, ozonowanie, dopełnienie klimatyzacji"/>
    <x v="0"/>
    <x v="62"/>
    <s v="Inna miejscowość"/>
    <s v=""/>
  </r>
  <r>
    <n v="90"/>
    <n v="171"/>
    <s v="Benzyna 23,4l"/>
    <x v="1"/>
    <x v="62"/>
    <s v="Poznań"/>
    <n v="7.3076923076923084"/>
  </r>
  <r>
    <n v="91"/>
    <n v="20"/>
    <s v="Parking, SkyCash (wykorzystane)"/>
    <x v="2"/>
    <x v="63"/>
    <s v="Poznań"/>
    <s v=""/>
  </r>
  <r>
    <n v="92"/>
    <n v="234"/>
    <s v="Benzyna 30,7l"/>
    <x v="1"/>
    <x v="64"/>
    <s v="Poznań"/>
    <n v="7.6221498371335503"/>
  </r>
  <r>
    <n v="93"/>
    <n v="30"/>
    <s v="Parking, SkyCash (wykorzystane)"/>
    <x v="2"/>
    <x v="65"/>
    <s v="Poznań"/>
    <s v=""/>
  </r>
  <r>
    <n v="94"/>
    <n v="114"/>
    <s v="Benzyna 17,7l"/>
    <x v="1"/>
    <x v="66"/>
    <s v="Poznań"/>
    <n v="6.4406779661016955"/>
  </r>
  <r>
    <n v="95"/>
    <n v="151"/>
    <s v="Benzyna 23,3l"/>
    <x v="1"/>
    <x v="67"/>
    <s v="Poznań"/>
    <n v="6.4806866952789699"/>
  </r>
  <r>
    <n v="96"/>
    <n v="400"/>
    <s v="Wymiana czujnika położenia wału korbowego oraz paska wielorowkowego"/>
    <x v="0"/>
    <x v="68"/>
    <s v="Inna miejscowość"/>
    <s v=""/>
  </r>
  <r>
    <n v="97"/>
    <n v="20"/>
    <s v="Parking, SkyCash (wykorzystane)"/>
    <x v="2"/>
    <x v="69"/>
    <s v="Poznań"/>
    <s v=""/>
  </r>
  <r>
    <n v="98"/>
    <n v="10"/>
    <s v="Parking, 2 godziny"/>
    <x v="2"/>
    <x v="70"/>
    <s v="Poznań"/>
    <s v=""/>
  </r>
  <r>
    <n v="99"/>
    <n v="194"/>
    <s v="Benzyna 31,1l"/>
    <x v="1"/>
    <x v="70"/>
    <s v="Inna miejscowość"/>
    <n v="6.237942122186495"/>
  </r>
  <r>
    <n v="100"/>
    <n v="5"/>
    <s v="Parking, 1 godzina"/>
    <x v="2"/>
    <x v="71"/>
    <s v="Poznań"/>
    <s v=""/>
  </r>
  <r>
    <n v="101"/>
    <n v="111"/>
    <s v="Benzyna 16,3l"/>
    <x v="1"/>
    <x v="72"/>
    <s v="Poznań"/>
    <n v="6.8098159509202452"/>
  </r>
  <r>
    <n v="102"/>
    <n v="10"/>
    <s v="Parking, 2 godziny"/>
    <x v="2"/>
    <x v="73"/>
    <s v="Poznań"/>
    <s v=""/>
  </r>
  <r>
    <n v="103"/>
    <n v="10"/>
    <s v="Parking, 2 godziny"/>
    <x v="2"/>
    <x v="74"/>
    <s v="Poznań"/>
    <s v=""/>
  </r>
  <r>
    <n v="104"/>
    <n v="198"/>
    <s v="Benzyna 30,6l"/>
    <x v="1"/>
    <x v="75"/>
    <s v="Poznań"/>
    <n v="6.4705882352941178"/>
  </r>
  <r>
    <n v="105"/>
    <n v="60"/>
    <s v="Wymiana opon na zimowe"/>
    <x v="0"/>
    <x v="76"/>
    <s v="Poznań"/>
    <s v=""/>
  </r>
  <r>
    <n v="106"/>
    <n v="10"/>
    <s v="Parking, 2 godziny"/>
    <x v="2"/>
    <x v="77"/>
    <s v="Poznań"/>
    <s v=""/>
  </r>
  <r>
    <n v="107"/>
    <n v="180"/>
    <s v="Benzyna 27,6l"/>
    <x v="1"/>
    <x v="78"/>
    <s v="Poznań"/>
    <n v="6.5217391304347823"/>
  </r>
  <r>
    <n v="108"/>
    <n v="10"/>
    <s v="Parking, 2 godziny"/>
    <x v="2"/>
    <x v="79"/>
    <s v="Poznań"/>
    <s v=""/>
  </r>
  <r>
    <n v="109"/>
    <n v="5"/>
    <s v="Parking, 1 godzina"/>
    <x v="2"/>
    <x v="80"/>
    <s v="Poznań"/>
    <s v=""/>
  </r>
  <r>
    <n v="110"/>
    <n v="10"/>
    <s v="Parking, 2 godziny"/>
    <x v="2"/>
    <x v="81"/>
    <s v="Poznań"/>
    <s v=""/>
  </r>
  <r>
    <n v="111"/>
    <n v="134"/>
    <s v="Benzyna 20,8l"/>
    <x v="1"/>
    <x v="82"/>
    <s v="Poznań"/>
    <n v="6.4423076923076925"/>
  </r>
  <r>
    <n v="112"/>
    <n v="835"/>
    <s v="OC + Holowanie pojazdu + Szyby + Telefoniczny Asystent Prawny + Car Assistance - Wypadek + Car Assistance - Awaria"/>
    <x v="0"/>
    <x v="83"/>
    <s v="Poznań"/>
    <s v=""/>
  </r>
  <r>
    <n v="113"/>
    <n v="127"/>
    <s v="Benzyna 19,5l"/>
    <x v="1"/>
    <x v="84"/>
    <s v="Poznań"/>
    <n v="6.5128205128205128"/>
  </r>
  <r>
    <n v="114"/>
    <n v="5"/>
    <s v="Parking, 2 godziny"/>
    <x v="2"/>
    <x v="85"/>
    <s v="Poznań"/>
    <s v=""/>
  </r>
  <r>
    <n v="115"/>
    <n v="5"/>
    <s v="Parking, 1 godzina"/>
    <x v="2"/>
    <x v="86"/>
    <s v="Poznań"/>
    <s v=""/>
  </r>
  <r>
    <n v="116"/>
    <n v="10"/>
    <s v="Parking, 2 godziny"/>
    <x v="2"/>
    <x v="87"/>
    <s v="Poznań"/>
    <s v=""/>
  </r>
  <r>
    <n v="117"/>
    <n v="10"/>
    <s v="Parking, 2 godziny"/>
    <x v="2"/>
    <x v="88"/>
    <s v="Poznań"/>
    <s v=""/>
  </r>
  <r>
    <n v="118"/>
    <n v="196"/>
    <s v="Benzyna 30,4l"/>
    <x v="1"/>
    <x v="89"/>
    <s v="Inna miejscowość"/>
    <n v="6.4473684210526319"/>
  </r>
  <r>
    <n v="119"/>
    <n v="10"/>
    <s v="Parking, 1 godzina"/>
    <x v="2"/>
    <x v="90"/>
    <s v="Inna miejscowość"/>
    <s v=""/>
  </r>
  <r>
    <n v="120"/>
    <n v="199"/>
    <s v="Benzyna 30l"/>
    <x v="1"/>
    <x v="90"/>
    <s v="Poznań"/>
    <s v=""/>
  </r>
  <r>
    <n v="121"/>
    <n v="6"/>
    <s v="Parking, 1 godzina"/>
    <x v="2"/>
    <x v="91"/>
    <s v="Poznań"/>
    <s v=""/>
  </r>
  <r>
    <n v="122"/>
    <n v="30"/>
    <s v="Parking, SkyCash (wykorzystane)"/>
    <x v="2"/>
    <x v="92"/>
    <s v="Poznań"/>
    <s v=""/>
  </r>
  <r>
    <n v="123"/>
    <n v="145"/>
    <s v="Benzyna 21,8l"/>
    <x v="1"/>
    <x v="93"/>
    <s v="Poznań"/>
    <n v="6.6513761467889907"/>
  </r>
  <r>
    <n v="124"/>
    <n v="139"/>
    <s v="Benzyna 20,9l"/>
    <x v="1"/>
    <x v="94"/>
    <s v="Poznań"/>
    <n v="6.650717703349283"/>
  </r>
  <r>
    <n v="125"/>
    <n v="100"/>
    <s v="Czujniki parkowania"/>
    <x v="0"/>
    <x v="95"/>
    <s v="Poznań"/>
    <s v=""/>
  </r>
  <r>
    <n v="126"/>
    <n v="154"/>
    <s v="Benzyna 22,9l"/>
    <x v="1"/>
    <x v="96"/>
    <s v="Poznań"/>
    <n v="6.7248908296943233"/>
  </r>
  <r>
    <n v="127"/>
    <n v="64"/>
    <s v="Autostrada A2"/>
    <x v="0"/>
    <x v="97"/>
    <s v="Inna miejscowość"/>
    <s v=""/>
  </r>
  <r>
    <n v="128"/>
    <n v="145"/>
    <s v="Benzyna 21,8l"/>
    <x v="1"/>
    <x v="98"/>
    <s v="Poznań"/>
    <n v="6.6513761467889907"/>
  </r>
  <r>
    <n v="129"/>
    <n v="80"/>
    <s v="Wymiana opon + diagnostyka"/>
    <x v="0"/>
    <x v="99"/>
    <s v="Poznań"/>
    <s v=""/>
  </r>
  <r>
    <n v="130"/>
    <n v="30"/>
    <s v="Parking, SkyCash (wykorzystane)"/>
    <x v="2"/>
    <x v="100"/>
    <s v="Poznań"/>
    <s v=""/>
  </r>
  <r>
    <n v="131"/>
    <n v="99"/>
    <s v="Przegląd"/>
    <x v="0"/>
    <x v="101"/>
    <s v="Poznań"/>
    <s v=""/>
  </r>
  <r>
    <n v="132"/>
    <n v="210"/>
    <s v="Benzyna 31,7l"/>
    <x v="1"/>
    <x v="102"/>
    <s v="Poznań"/>
    <n v="6.624605678233439"/>
  </r>
  <r>
    <n v="133"/>
    <n v="123"/>
    <s v="Benzyna 19,2l"/>
    <x v="1"/>
    <x v="103"/>
    <s v="Poznań"/>
    <n v="6.40625"/>
  </r>
  <r>
    <n v="134"/>
    <n v="189"/>
    <s v="Benzyna 29,8l"/>
    <x v="1"/>
    <x v="104"/>
    <s v="Poznań"/>
    <n v="6.3422818791946307"/>
  </r>
  <r>
    <n v="135"/>
    <n v="20"/>
    <s v="Naciągnięcie paska wieloklinowego"/>
    <x v="0"/>
    <x v="105"/>
    <s v="Inna miejscowość"/>
    <s v=""/>
  </r>
  <r>
    <n v="136"/>
    <n v="198"/>
    <s v="Benzyna 30,8l"/>
    <x v="1"/>
    <x v="106"/>
    <s v="Inna miejscowość"/>
    <n v="6.4285714285714288"/>
  </r>
  <r>
    <n v="137"/>
    <n v="30"/>
    <s v="Parking, SkyCash (wykorzystane)"/>
    <x v="2"/>
    <x v="107"/>
    <s v="Poznań"/>
    <s v=""/>
  </r>
  <r>
    <n v="138"/>
    <n v="183"/>
    <s v="Benzyna 29,0l"/>
    <x v="1"/>
    <x v="108"/>
    <s v="Poznań"/>
    <n v="6.3103448275862073"/>
  </r>
  <r>
    <n v="139"/>
    <n v="30"/>
    <s v="Parking, SkyCash (wykorzystane)"/>
    <x v="2"/>
    <x v="109"/>
    <s v="Poznań"/>
    <s v=""/>
  </r>
  <r>
    <n v="140"/>
    <n v="200"/>
    <s v="Benzyna 31,6l"/>
    <x v="1"/>
    <x v="110"/>
    <s v="Poznań"/>
    <n v="6.3291139240506329"/>
  </r>
  <r>
    <n v="141"/>
    <n v="149"/>
    <s v="Benzyna 23,1l"/>
    <x v="1"/>
    <x v="111"/>
    <s v="Poznań"/>
    <n v="6.4502164502164501"/>
  </r>
  <r>
    <n v="142"/>
    <n v="9"/>
    <s v="Żarówka tylne, lewe pozycyjne/stop*1"/>
    <x v="0"/>
    <x v="112"/>
    <s v="Poznań"/>
    <s v=""/>
  </r>
  <r>
    <n v="143"/>
    <n v="21"/>
    <s v="Żarówka tylne, lewe pozycyjne/stop*3"/>
    <x v="0"/>
    <x v="112"/>
    <s v="Poznań"/>
    <s v=""/>
  </r>
  <r>
    <n v="144"/>
    <n v="123"/>
    <s v="Benzyna 18,7l"/>
    <x v="1"/>
    <x v="113"/>
    <s v="Poznań"/>
    <n v="6.5775401069518722"/>
  </r>
  <r>
    <n v="145"/>
    <n v="43"/>
    <s v="Pasek wieloklinowy"/>
    <x v="0"/>
    <x v="113"/>
    <s v="Inna miejscowość"/>
    <s v=""/>
  </r>
  <r>
    <n v="146"/>
    <n v="50"/>
    <s v="Wymiana paska wieloklinowego + diagnostyka"/>
    <x v="0"/>
    <x v="113"/>
    <s v="Inna miejscowość"/>
    <s v=""/>
  </r>
  <r>
    <n v="147"/>
    <n v="97"/>
    <s v="Benzyna 15,0l"/>
    <x v="1"/>
    <x v="114"/>
    <s v="Poznań"/>
    <n v="6.4666666666666668"/>
  </r>
  <r>
    <n v="148"/>
    <n v="123"/>
    <s v="Benzyna 18,7l"/>
    <x v="1"/>
    <x v="115"/>
    <s v="Poznań"/>
    <n v="6.5775401069518722"/>
  </r>
  <r>
    <n v="149"/>
    <n v="30"/>
    <s v="Parking, SkyCash (wykorzystane)"/>
    <x v="2"/>
    <x v="116"/>
    <s v="Poznań"/>
    <s v=""/>
  </r>
  <r>
    <n v="150"/>
    <n v="110"/>
    <s v="Benzyna 17,5l"/>
    <x v="1"/>
    <x v="117"/>
    <s v="Poznań"/>
    <n v="6.2857142857142856"/>
  </r>
  <r>
    <n v="151"/>
    <n v="5"/>
    <s v="Parking"/>
    <x v="2"/>
    <x v="118"/>
    <s v="Poznań"/>
    <s v=""/>
  </r>
  <r>
    <n v="152"/>
    <n v="30"/>
    <s v="Parking, SkyCash (wykorzystane)"/>
    <x v="2"/>
    <x v="119"/>
    <s v="Poznań"/>
    <s v=""/>
  </r>
  <r>
    <n v="153"/>
    <n v="166"/>
    <s v="Benzyna 27,9l"/>
    <x v="1"/>
    <x v="119"/>
    <s v="Poznań"/>
    <n v="5.9498207885304666"/>
  </r>
  <r>
    <n v="154"/>
    <n v="3"/>
    <s v="Parking"/>
    <x v="2"/>
    <x v="120"/>
    <s v="Poznań"/>
    <s v=""/>
  </r>
  <r>
    <n v="155"/>
    <n v="107"/>
    <s v="Benzyna 17,9l"/>
    <x v="1"/>
    <x v="121"/>
    <s v="Poznań"/>
    <n v="5.9776536312849169"/>
  </r>
  <r>
    <n v="156"/>
    <n v="360"/>
    <s v="Wymiana akumulatora (akumulator, wstawienie, utylizacja)"/>
    <x v="0"/>
    <x v="122"/>
    <s v="Poznań"/>
    <s v=""/>
  </r>
  <r>
    <n v="157"/>
    <n v="4"/>
    <s v="Parking"/>
    <x v="2"/>
    <x v="123"/>
    <s v="Poznań"/>
    <s v=""/>
  </r>
  <r>
    <n v="158"/>
    <n v="104"/>
    <s v="Benzyna 16,9l"/>
    <x v="1"/>
    <x v="124"/>
    <s v="Poznań"/>
    <n v="6.1538461538461542"/>
  </r>
  <r>
    <n v="159"/>
    <n v="75"/>
    <s v="Benzyna 12,4l"/>
    <x v="1"/>
    <x v="125"/>
    <s v="Poznań"/>
    <n v="6.0483870967741931"/>
  </r>
  <r>
    <n v="160"/>
    <n v="772"/>
    <s v="Mechanik (wymiana śrub układu oddechowego = 17,46 + wymiana uszczelki kolektora dolotowego (52,31) i uszczelki pokrywy zaworów (69,85) i cewki zapłonowej (171,93) i usługa (100) + wymiana opon = 60 + konserwacja podwozia = 300"/>
    <x v="0"/>
    <x v="126"/>
    <s v="Poznań"/>
    <s v=""/>
  </r>
  <r>
    <n v="161"/>
    <n v="149"/>
    <s v="Benzyna 24,3l"/>
    <x v="1"/>
    <x v="127"/>
    <s v="Poznań"/>
    <n v="6.1316872427983533"/>
  </r>
  <r>
    <n v="162"/>
    <n v="151"/>
    <s v="Benzyna 23,5l"/>
    <x v="1"/>
    <x v="128"/>
    <s v="Poznań"/>
    <n v="6.4255319148936172"/>
  </r>
  <r>
    <n v="163"/>
    <n v="1162"/>
    <s v="OC + Holowanie pojazdu + Szyby + Telefoniczny Asystent Prawny + Car Assistance - Wypadek + Car Assistance - Awaria"/>
    <x v="0"/>
    <x v="129"/>
    <s v="Poznań"/>
    <s v=""/>
  </r>
  <r>
    <n v="164"/>
    <n v="2"/>
    <s v="Parking"/>
    <x v="2"/>
    <x v="130"/>
    <s v="Poznań"/>
    <s v=""/>
  </r>
  <r>
    <n v="165"/>
    <n v="101"/>
    <s v="Benzyna 15,8l"/>
    <x v="1"/>
    <x v="131"/>
    <s v="Poznań"/>
    <n v="6.3924050632911387"/>
  </r>
  <r>
    <n v="166"/>
    <n v="163"/>
    <s v="Benzyna 25,9l"/>
    <x v="1"/>
    <x v="132"/>
    <s v="Poznań"/>
    <n v="6.2934362934362937"/>
  </r>
  <r>
    <n v="167"/>
    <n v="50"/>
    <s v="Parking, SkyCash (wykorzystane)"/>
    <x v="2"/>
    <x v="133"/>
    <s v="Poznań"/>
    <s v=""/>
  </r>
  <r>
    <n v="168"/>
    <n v="15"/>
    <s v="Płyn do spryskiwaczy - zima"/>
    <x v="0"/>
    <x v="134"/>
    <s v="Poznań"/>
    <s v=""/>
  </r>
  <r>
    <n v="169"/>
    <n v="21"/>
    <s v="Parking"/>
    <x v="2"/>
    <x v="135"/>
    <s v="Poznań"/>
    <s v=""/>
  </r>
  <r>
    <n v="170"/>
    <n v="5"/>
    <s v="Parking"/>
    <x v="2"/>
    <x v="136"/>
    <s v="Poznań"/>
    <s v=""/>
  </r>
  <r>
    <n v="171"/>
    <n v="180"/>
    <s v="Benzyna 29,5l"/>
    <x v="1"/>
    <x v="136"/>
    <s v="Poznań"/>
    <n v="6.101694915254237"/>
  </r>
  <r>
    <n v="172"/>
    <n v="126"/>
    <s v="Benzyna 20,9l"/>
    <x v="1"/>
    <x v="137"/>
    <s v="Poznań"/>
    <n v="6.0287081339712927"/>
  </r>
  <r>
    <n v="173"/>
    <n v="100"/>
    <s v="Mandat"/>
    <x v="0"/>
    <x v="138"/>
    <s v="Poznań"/>
    <s v=""/>
  </r>
  <r>
    <n v="174"/>
    <n v="179"/>
    <s v="Benzyna 29,2l"/>
    <x v="1"/>
    <x v="139"/>
    <s v="Inna miejscowość"/>
    <n v="6.1301369863013697"/>
  </r>
  <r>
    <n v="175"/>
    <n v="152"/>
    <s v="Benzyna 23,8l"/>
    <x v="1"/>
    <x v="140"/>
    <s v="Poznań"/>
    <n v="6.386554621848739"/>
  </r>
  <r>
    <n v="176"/>
    <n v="6"/>
    <s v="Parking"/>
    <x v="2"/>
    <x v="141"/>
    <s v="Poznań"/>
    <s v=""/>
  </r>
  <r>
    <n v="177"/>
    <n v="159"/>
    <s v="Benzyna 24,9l"/>
    <x v="1"/>
    <x v="142"/>
    <s v="Poznań"/>
    <n v="6.3855421686746991"/>
  </r>
  <r>
    <n v="178"/>
    <n v="140"/>
    <s v="Benzyna 22,1l"/>
    <x v="1"/>
    <x v="143"/>
    <s v="Poznań"/>
    <n v="6.3348416289592757"/>
  </r>
  <r>
    <n v="179"/>
    <n v="50"/>
    <s v="Parking, SkyCash (wykorzystane)"/>
    <x v="2"/>
    <x v="144"/>
    <s v="Poznań"/>
    <s v=""/>
  </r>
  <r>
    <n v="180"/>
    <n v="140"/>
    <s v="Benzyna 21,7l"/>
    <x v="1"/>
    <x v="145"/>
    <s v="Poznań"/>
    <n v="6.4516129032258069"/>
  </r>
  <r>
    <n v="181"/>
    <n v="141"/>
    <s v="Benzyna 21,5l"/>
    <x v="1"/>
    <x v="146"/>
    <s v="Poznań"/>
    <n v="6.558139534883721"/>
  </r>
  <r>
    <n v="182"/>
    <n v="203"/>
    <s v="Benzyna 30,0l"/>
    <x v="1"/>
    <x v="147"/>
    <s v="Poznań"/>
    <n v="6.7666666666666666"/>
  </r>
  <r>
    <n v="183"/>
    <n v="98"/>
    <s v="Przegląd"/>
    <x v="0"/>
    <x v="148"/>
    <s v="Poznań"/>
    <s v=""/>
  </r>
  <r>
    <n v="184"/>
    <n v="20"/>
    <s v="Myjnia ręczna"/>
    <x v="0"/>
    <x v="147"/>
    <s v="Poznań"/>
    <s v=""/>
  </r>
  <r>
    <n v="185"/>
    <n v="185"/>
    <s v="Benzyna 28,0l"/>
    <x v="1"/>
    <x v="147"/>
    <s v="Poznań"/>
    <n v="6.6071428571428568"/>
  </r>
  <r>
    <n v="186"/>
    <n v="30"/>
    <s v="Parking, SkyCash (wykorzystane)"/>
    <x v="2"/>
    <x v="149"/>
    <s v="Poznań"/>
    <s v=""/>
  </r>
  <r>
    <n v="187"/>
    <n v="21"/>
    <s v="Parking"/>
    <x v="2"/>
    <x v="150"/>
    <s v="Poznań"/>
    <s v=""/>
  </r>
  <r>
    <n v="188"/>
    <n v="160"/>
    <s v="Benzyna 24,5l"/>
    <x v="1"/>
    <x v="151"/>
    <s v="Poznań"/>
    <n v="6.5306122448979593"/>
  </r>
  <r>
    <n v="189"/>
    <n v="5"/>
    <s v="Parking"/>
    <x v="2"/>
    <x v="152"/>
    <s v="Poznań"/>
    <s v=""/>
  </r>
  <r>
    <n v="190"/>
    <n v="25"/>
    <s v="Parking"/>
    <x v="2"/>
    <x v="153"/>
    <s v="Poznań"/>
    <s v=""/>
  </r>
  <r>
    <n v="191"/>
    <n v="202"/>
    <s v="Benzyna 31,4l"/>
    <x v="1"/>
    <x v="153"/>
    <s v="Poznań"/>
    <n v="6.4331210191082802"/>
  </r>
  <r>
    <n v="192"/>
    <n v="184"/>
    <s v="Benzyna 28,5l"/>
    <x v="1"/>
    <x v="154"/>
    <s v="Poznań"/>
    <n v="6.4561403508771926"/>
  </r>
  <r>
    <n v="193"/>
    <n v="190"/>
    <s v="Benzyna 29,6l"/>
    <x v="1"/>
    <x v="155"/>
    <s v="Inna miejscowość"/>
    <n v="6.4189189189189184"/>
  </r>
  <r>
    <n v="194"/>
    <n v="7"/>
    <s v="Parking"/>
    <x v="2"/>
    <x v="156"/>
    <s v="Inna miejscowość"/>
    <s v=""/>
  </r>
  <r>
    <n v="195"/>
    <n v="14"/>
    <s v="Parking"/>
    <x v="2"/>
    <x v="157"/>
    <s v="Poznań"/>
    <s v=""/>
  </r>
  <r>
    <n v="196"/>
    <n v="113"/>
    <s v="Benzyna 17,8l"/>
    <x v="1"/>
    <x v="157"/>
    <s v="Poznań"/>
    <n v="6.3483146067415728"/>
  </r>
  <r>
    <n v="197"/>
    <n v="142"/>
    <s v="Benzyna 22,6l"/>
    <x v="1"/>
    <x v="158"/>
    <s v="Poznań"/>
    <n v="6.2831858407079642"/>
  </r>
  <r>
    <n v="198"/>
    <n v="171"/>
    <s v="Benzyna 27,7l"/>
    <x v="1"/>
    <x v="159"/>
    <s v="Poznań"/>
    <n v="6.1732851985559565"/>
  </r>
  <r>
    <n v="199"/>
    <n v="170"/>
    <s v="Benzyna 27,4l"/>
    <x v="1"/>
    <x v="160"/>
    <s v="Poznań"/>
    <n v="6.2043795620437958"/>
  </r>
  <r>
    <n v="200"/>
    <n v="154"/>
    <s v="Benzyna 25,2l"/>
    <x v="1"/>
    <x v="161"/>
    <s v="Poznań"/>
    <n v="6.1111111111111116"/>
  </r>
  <r>
    <n v="201"/>
    <n v="40"/>
    <s v="Parking, SkyCash (wykorzystane)"/>
    <x v="2"/>
    <x v="162"/>
    <s v="Poznań"/>
    <s v=""/>
  </r>
  <r>
    <n v="202"/>
    <n v="115"/>
    <s v="Benzyna 19,2l"/>
    <x v="1"/>
    <x v="163"/>
    <s v="Poznań"/>
    <n v="5.9895833333333339"/>
  </r>
  <r>
    <n v="203"/>
    <n v="94"/>
    <s v="Benzyna 15,7l"/>
    <x v="1"/>
    <x v="164"/>
    <s v="Poznań"/>
    <n v="5.9872611464968157"/>
  </r>
  <r>
    <n v="204"/>
    <n v="50"/>
    <s v="Parking, SkyCash (wykorzystane)"/>
    <x v="2"/>
    <x v="165"/>
    <s v="Poznań"/>
    <s v=""/>
  </r>
  <r>
    <n v="205"/>
    <n v="185"/>
    <s v="Benzyna 29,9l"/>
    <x v="1"/>
    <x v="166"/>
    <s v="Poznań"/>
    <n v="6.1872909698996654"/>
  </r>
  <r>
    <n v="206"/>
    <n v="177"/>
    <s v="Benzyna 29,3l"/>
    <x v="1"/>
    <x v="167"/>
    <s v="Poznań"/>
    <n v="6.0409556313993171"/>
  </r>
  <r>
    <n v="207"/>
    <n v="1372"/>
    <s v="OC + Holowanie pojazdu + Szyby + Telefoniczny Asystent Prawny + Car Assistance - Wypadek + Car Assistance - Awaria"/>
    <x v="0"/>
    <x v="168"/>
    <s v="Poznań"/>
    <s v=""/>
  </r>
  <r>
    <n v="208"/>
    <n v="117"/>
    <s v="Benzyna 19,5l"/>
    <x v="1"/>
    <x v="169"/>
    <s v="Poznań"/>
    <n v="6"/>
  </r>
  <r>
    <n v="209"/>
    <n v="7"/>
    <s v="Parking 1h"/>
    <x v="2"/>
    <x v="170"/>
    <s v="Poznań"/>
    <s v=""/>
  </r>
  <r>
    <n v="210"/>
    <n v="159"/>
    <s v="Benzyna 25,7l"/>
    <x v="1"/>
    <x v="171"/>
    <s v="Poznań"/>
    <n v="6.1867704280155644"/>
  </r>
  <r>
    <n v="211"/>
    <n v="21"/>
    <s v="Parking 3h"/>
    <x v="2"/>
    <x v="172"/>
    <s v="Poznań"/>
    <s v=""/>
  </r>
  <r>
    <n v="212"/>
    <n v="70"/>
    <s v="Benzyna 11,3l"/>
    <x v="1"/>
    <x v="173"/>
    <s v="Poznań"/>
    <n v="6.1946902654867255"/>
  </r>
  <r>
    <n v="213"/>
    <n v="9"/>
    <s v="Parking 1h"/>
    <x v="2"/>
    <x v="174"/>
    <s v="Poznań"/>
    <s v=""/>
  </r>
  <r>
    <n v="214"/>
    <n v="64"/>
    <s v="Benzyna 10,4l"/>
    <x v="1"/>
    <x v="175"/>
    <s v="Poznań"/>
    <n v="6.1538461538461533"/>
  </r>
  <r>
    <n v="215"/>
    <n v="72"/>
    <s v="Autostrada"/>
    <x v="0"/>
    <x v="176"/>
    <s v="Inna miejscowość"/>
    <s v=""/>
  </r>
  <r>
    <n v="216"/>
    <n v="68"/>
    <s v="Autostrada"/>
    <x v="0"/>
    <x v="177"/>
    <s v="Inna miejscowość"/>
    <s v=""/>
  </r>
  <r>
    <n v="217"/>
    <n v="170"/>
    <s v="Benzyna 28,0l"/>
    <x v="1"/>
    <x v="177"/>
    <s v="Inna miejscowość"/>
    <n v="6.07142857142857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4">
  <r>
    <n v="4"/>
    <n v="158"/>
    <s v="Benzyna 33,8l"/>
    <x v="0"/>
    <n v="4.67"/>
  </r>
  <r>
    <n v="15"/>
    <n v="127"/>
    <s v="Benzyna 27,2l"/>
    <x v="1"/>
    <n v="4.67"/>
  </r>
  <r>
    <n v="16"/>
    <n v="133"/>
    <s v="Benzyna 28,2l"/>
    <x v="2"/>
    <n v="4.72"/>
  </r>
  <r>
    <n v="19"/>
    <n v="139"/>
    <s v="Benzyna 28,3l"/>
    <x v="3"/>
    <n v="4.91"/>
  </r>
  <r>
    <n v="20"/>
    <n v="139"/>
    <s v="Benzyna 27,6l"/>
    <x v="4"/>
    <n v="5.04"/>
  </r>
  <r>
    <n v="23"/>
    <n v="162"/>
    <s v="Benzyna 31l"/>
    <x v="5"/>
    <n v="5.23"/>
  </r>
  <r>
    <n v="30"/>
    <n v="137"/>
    <s v="Benzyna 25,2l"/>
    <x v="6"/>
    <n v="5.44"/>
  </r>
  <r>
    <n v="34"/>
    <n v="164"/>
    <s v="Benzyna 32,9l"/>
    <x v="7"/>
    <n v="4.9800000000000004"/>
  </r>
  <r>
    <n v="41"/>
    <n v="176"/>
    <s v="Benzyna 31,1l"/>
    <x v="8"/>
    <n v="5.66"/>
  </r>
  <r>
    <n v="43"/>
    <n v="149"/>
    <s v="Benzyna 27,1l"/>
    <x v="9"/>
    <n v="5.5"/>
  </r>
  <r>
    <n v="46"/>
    <n v="129"/>
    <s v="Benzyna 22,9l"/>
    <x v="10"/>
    <n v="5.63"/>
  </r>
  <r>
    <n v="48"/>
    <n v="153"/>
    <s v="Benzyna 26,3"/>
    <x v="11"/>
    <n v="5.82"/>
  </r>
  <r>
    <n v="62"/>
    <n v="206"/>
    <s v="Benzyna 34,5"/>
    <x v="12"/>
    <n v="5.97"/>
  </r>
  <r>
    <n v="71"/>
    <n v="161"/>
    <s v="Benzyna 28,3l"/>
    <x v="13"/>
    <n v="5.69"/>
  </r>
  <r>
    <n v="73"/>
    <n v="160"/>
    <s v="Benzyna 28,1l"/>
    <x v="14"/>
    <n v="5.69"/>
  </r>
  <r>
    <n v="75"/>
    <n v="171"/>
    <s v="Benzyna 30,1l"/>
    <x v="15"/>
    <n v="5.68"/>
  </r>
  <r>
    <n v="78"/>
    <n v="169"/>
    <s v="Benzyna 31,9l"/>
    <x v="16"/>
    <n v="5.3"/>
  </r>
  <r>
    <n v="80"/>
    <n v="110"/>
    <s v="Benzyna 16,9l"/>
    <x v="17"/>
    <n v="6.51"/>
  </r>
  <r>
    <n v="82"/>
    <n v="147"/>
    <s v="Benzyna 21,5l"/>
    <x v="18"/>
    <n v="6.84"/>
  </r>
  <r>
    <n v="86"/>
    <n v="222"/>
    <s v="Benzyna 33,4l"/>
    <x v="19"/>
    <n v="6.65"/>
  </r>
  <r>
    <n v="87"/>
    <n v="189"/>
    <s v="Benzyna 30,1l"/>
    <x v="20"/>
    <n v="6.28"/>
  </r>
  <r>
    <n v="90"/>
    <n v="171"/>
    <s v="Benzyna 23,4l"/>
    <x v="21"/>
    <n v="7.31"/>
  </r>
  <r>
    <n v="92"/>
    <n v="234"/>
    <s v="Benzyna 30,7l"/>
    <x v="22"/>
    <n v="7.62"/>
  </r>
  <r>
    <n v="94"/>
    <n v="114"/>
    <s v="Benzyna 17,7l"/>
    <x v="23"/>
    <n v="6.44"/>
  </r>
  <r>
    <n v="95"/>
    <n v="151"/>
    <s v="Benzyna 23,3l"/>
    <x v="24"/>
    <n v="6.48"/>
  </r>
  <r>
    <n v="99"/>
    <n v="194"/>
    <s v="Benzyna 31,1l"/>
    <x v="25"/>
    <n v="6.24"/>
  </r>
  <r>
    <n v="101"/>
    <n v="111"/>
    <s v="Benzyna 16,3l"/>
    <x v="26"/>
    <n v="6.81"/>
  </r>
  <r>
    <n v="104"/>
    <n v="198"/>
    <s v="Benzyna 30,6l"/>
    <x v="27"/>
    <n v="6.47"/>
  </r>
  <r>
    <n v="107"/>
    <n v="180"/>
    <s v="Benzyna 27,6l"/>
    <x v="28"/>
    <n v="6.52"/>
  </r>
  <r>
    <n v="111"/>
    <n v="134"/>
    <s v="Benzyna 20,8l"/>
    <x v="29"/>
    <n v="6.44"/>
  </r>
  <r>
    <n v="113"/>
    <n v="127"/>
    <s v="Benzyna 19,5l"/>
    <x v="30"/>
    <n v="6.51"/>
  </r>
  <r>
    <n v="118"/>
    <n v="196"/>
    <s v="Benzyna 30,4l"/>
    <x v="31"/>
    <n v="6.45"/>
  </r>
  <r>
    <n v="120"/>
    <n v="199"/>
    <s v="Benzyna 30l"/>
    <x v="32"/>
    <n v="6.63"/>
  </r>
  <r>
    <n v="123"/>
    <n v="145"/>
    <s v="Benzyna 21,8l"/>
    <x v="33"/>
    <n v="6.65"/>
  </r>
  <r>
    <n v="124"/>
    <n v="139"/>
    <s v="Benzyna 20,9l"/>
    <x v="34"/>
    <n v="6.65"/>
  </r>
  <r>
    <n v="126"/>
    <n v="154"/>
    <s v="Benzyna 22,9l"/>
    <x v="35"/>
    <n v="6.72"/>
  </r>
  <r>
    <n v="128"/>
    <n v="145"/>
    <s v="Benzyna 21,8l"/>
    <x v="36"/>
    <n v="6.65"/>
  </r>
  <r>
    <n v="132"/>
    <n v="210"/>
    <s v="Benzyna 31,7l"/>
    <x v="37"/>
    <n v="6.62"/>
  </r>
  <r>
    <n v="133"/>
    <n v="123"/>
    <s v="Benzyna 19,2l"/>
    <x v="38"/>
    <n v="6.41"/>
  </r>
  <r>
    <n v="134"/>
    <n v="189"/>
    <s v="Benzyna 29,8l"/>
    <x v="39"/>
    <n v="6.34"/>
  </r>
  <r>
    <n v="136"/>
    <n v="198"/>
    <s v="Benzyna 30,8l"/>
    <x v="40"/>
    <n v="6.43"/>
  </r>
  <r>
    <n v="138"/>
    <n v="183"/>
    <s v="Benzyna 29,0l"/>
    <x v="41"/>
    <n v="6.31"/>
  </r>
  <r>
    <n v="140"/>
    <n v="200"/>
    <s v="Benzyna 31,6l"/>
    <x v="42"/>
    <n v="6.33"/>
  </r>
  <r>
    <n v="141"/>
    <n v="149"/>
    <s v="Benzyna 23,1l"/>
    <x v="43"/>
    <n v="6.45"/>
  </r>
  <r>
    <n v="144"/>
    <n v="123"/>
    <s v="Benzyna 18,7l"/>
    <x v="44"/>
    <n v="6.58"/>
  </r>
  <r>
    <n v="147"/>
    <n v="97"/>
    <s v="Benzyna 15,0l"/>
    <x v="45"/>
    <n v="6.47"/>
  </r>
  <r>
    <n v="148"/>
    <n v="123"/>
    <s v="Benzyna 18,7l"/>
    <x v="46"/>
    <n v="6.58"/>
  </r>
  <r>
    <n v="150"/>
    <n v="110"/>
    <s v="Benzyna 17,5l"/>
    <x v="47"/>
    <n v="6.29"/>
  </r>
  <r>
    <n v="153"/>
    <n v="166"/>
    <s v="Benzyna 27,9l"/>
    <x v="48"/>
    <n v="5.95"/>
  </r>
  <r>
    <n v="155"/>
    <n v="107"/>
    <s v="Benzyna 17,9l"/>
    <x v="49"/>
    <n v="5.98"/>
  </r>
  <r>
    <n v="158"/>
    <n v="104"/>
    <s v="Benzyna 16,9l"/>
    <x v="50"/>
    <n v="6.15"/>
  </r>
  <r>
    <n v="159"/>
    <n v="75"/>
    <s v="Benzyna 12,4l"/>
    <x v="51"/>
    <n v="6.05"/>
  </r>
  <r>
    <n v="161"/>
    <n v="149"/>
    <s v="Benzyna 24,3l"/>
    <x v="52"/>
    <n v="6.13"/>
  </r>
  <r>
    <n v="162"/>
    <n v="151"/>
    <s v="Benzyna 23,5l"/>
    <x v="53"/>
    <n v="6.43"/>
  </r>
  <r>
    <n v="165"/>
    <n v="101"/>
    <s v="Benzyna 15,8l"/>
    <x v="54"/>
    <n v="6.39"/>
  </r>
  <r>
    <n v="166"/>
    <n v="163"/>
    <s v="Benzyna 25,9l"/>
    <x v="55"/>
    <n v="6.29"/>
  </r>
  <r>
    <n v="171"/>
    <n v="180"/>
    <s v="Benzyna 29,5l"/>
    <x v="56"/>
    <n v="6.1"/>
  </r>
  <r>
    <n v="172"/>
    <n v="126"/>
    <s v="Benzyna 20,9l"/>
    <x v="57"/>
    <n v="6.03"/>
  </r>
  <r>
    <n v="174"/>
    <n v="179"/>
    <s v="Benzyna 29,2l"/>
    <x v="58"/>
    <n v="6.13"/>
  </r>
  <r>
    <n v="175"/>
    <n v="152"/>
    <s v="Benzyna 23,8l"/>
    <x v="59"/>
    <n v="6.39"/>
  </r>
  <r>
    <n v="177"/>
    <n v="159"/>
    <s v="Benzyna 24,9l"/>
    <x v="60"/>
    <n v="6.39"/>
  </r>
  <r>
    <n v="178"/>
    <n v="140"/>
    <s v="Benzyna 22,1l"/>
    <x v="61"/>
    <n v="6.33"/>
  </r>
  <r>
    <n v="180"/>
    <n v="140"/>
    <s v="Benzyna 21,7l"/>
    <x v="62"/>
    <n v="6.45"/>
  </r>
  <r>
    <n v="181"/>
    <n v="141"/>
    <s v="Benzyna 21,5l"/>
    <x v="63"/>
    <n v="6.56"/>
  </r>
  <r>
    <n v="182"/>
    <n v="203"/>
    <s v="Benzyna 30,0l"/>
    <x v="64"/>
    <n v="6.77"/>
  </r>
  <r>
    <n v="185"/>
    <n v="185"/>
    <s v="Benzyna 28,0l"/>
    <x v="64"/>
    <n v="6.61"/>
  </r>
  <r>
    <n v="188"/>
    <n v="160"/>
    <s v="Benzyna 24,5l"/>
    <x v="65"/>
    <n v="6.53"/>
  </r>
  <r>
    <n v="191"/>
    <n v="202"/>
    <s v="Benzyna 31,4l"/>
    <x v="66"/>
    <n v="6.43"/>
  </r>
  <r>
    <n v="192"/>
    <n v="184"/>
    <s v="Benzyna 28,5l"/>
    <x v="67"/>
    <n v="6.46"/>
  </r>
  <r>
    <n v="193"/>
    <n v="190"/>
    <s v="Benzyna 29,6l"/>
    <x v="68"/>
    <n v="6.42"/>
  </r>
  <r>
    <n v="196"/>
    <n v="113"/>
    <s v="Benzyna 17,8l"/>
    <x v="69"/>
    <n v="6.35"/>
  </r>
  <r>
    <n v="197"/>
    <n v="142"/>
    <s v="Benzyna 22,6l"/>
    <x v="70"/>
    <n v="6.28"/>
  </r>
  <r>
    <n v="198"/>
    <n v="171"/>
    <s v="Benzyna 27,7l"/>
    <x v="71"/>
    <n v="6.17"/>
  </r>
  <r>
    <n v="199"/>
    <n v="170"/>
    <s v="Benzyna 27,4l"/>
    <x v="72"/>
    <n v="6.2"/>
  </r>
  <r>
    <n v="200"/>
    <n v="154"/>
    <s v="Benzyna 25,2l"/>
    <x v="73"/>
    <n v="6.11"/>
  </r>
  <r>
    <n v="202"/>
    <n v="115"/>
    <s v="Benzyna 19,2l"/>
    <x v="74"/>
    <n v="5.99"/>
  </r>
  <r>
    <n v="203"/>
    <n v="94"/>
    <s v="Benzyna 15,7l"/>
    <x v="75"/>
    <n v="5.99"/>
  </r>
  <r>
    <n v="205"/>
    <n v="185"/>
    <s v="Benzyna 29,9l"/>
    <x v="76"/>
    <n v="6.19"/>
  </r>
  <r>
    <n v="206"/>
    <n v="177"/>
    <s v="Benzyna 29,3l"/>
    <x v="77"/>
    <n v="6.04"/>
  </r>
  <r>
    <n v="207"/>
    <n v="117"/>
    <s v="Benzyna 19,5l"/>
    <x v="78"/>
    <n v="6"/>
  </r>
  <r>
    <n v="209"/>
    <n v="159"/>
    <s v="Benzyna 25,7l"/>
    <x v="78"/>
    <n v="6.19"/>
  </r>
  <r>
    <n v="211"/>
    <n v="70"/>
    <s v="Benzyna 11,3l"/>
    <x v="79"/>
    <n v="6.19"/>
  </r>
  <r>
    <n v="213"/>
    <n v="64"/>
    <s v="Benzyna 10,4l"/>
    <x v="80"/>
    <n v="6.15"/>
  </r>
  <r>
    <n v="216"/>
    <n v="170"/>
    <s v="Benzyna 28,0l"/>
    <x v="81"/>
    <n v="6.0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n v="2"/>
    <n v="11500"/>
    <x v="0"/>
    <d v="2020-11-25T00:00:00"/>
    <m/>
  </r>
  <r>
    <n v="5"/>
    <n v="250"/>
    <x v="1"/>
    <d v="2020-11-26T00:00:00"/>
    <m/>
  </r>
  <r>
    <n v="9"/>
    <n v="159"/>
    <x v="2"/>
    <d v="2020-12-03T00:00:00"/>
    <m/>
  </r>
  <r>
    <n v="10"/>
    <n v="298"/>
    <x v="3"/>
    <d v="2020-12-03T00:00:00"/>
    <m/>
  </r>
  <r>
    <n v="11"/>
    <n v="1013"/>
    <x v="4"/>
    <d v="2020-12-03T00:00:00"/>
    <m/>
  </r>
  <r>
    <n v="18"/>
    <n v="181"/>
    <x v="5"/>
    <d v="2021-01-29T00:00:00"/>
    <m/>
  </r>
  <r>
    <n v="47"/>
    <n v="650"/>
    <x v="6"/>
    <d v="2021-09-25T00:00:00"/>
    <m/>
  </r>
  <r>
    <n v="54"/>
    <n v="1014"/>
    <x v="7"/>
    <d v="2021-11-17T00:00:00"/>
    <m/>
  </r>
  <r>
    <n v="66"/>
    <n v="171"/>
    <x v="8"/>
    <d v="2021-12-02T00:00:00"/>
    <m/>
  </r>
  <r>
    <n v="89"/>
    <n v="180"/>
    <x v="9"/>
    <d v="2022-05-21T00:00:00"/>
    <m/>
  </r>
  <r>
    <n v="96"/>
    <n v="400"/>
    <x v="10"/>
    <d v="2022-09-22T00:00:00"/>
    <m/>
  </r>
  <r>
    <n v="112"/>
    <n v="835"/>
    <x v="11"/>
    <d v="2022-12-01T00:00:00"/>
    <m/>
  </r>
  <r>
    <n v="156"/>
    <n v="360"/>
    <x v="12"/>
    <d v="2023-10-09T00:00:00"/>
    <m/>
  </r>
  <r>
    <n v="160"/>
    <n v="772"/>
    <x v="13"/>
    <d v="2023-10-25T00:00:00"/>
    <m/>
  </r>
  <r>
    <n v="163"/>
    <n v="1162"/>
    <x v="14"/>
    <d v="2023-11-08T00:00:00"/>
    <m/>
  </r>
  <r>
    <n v="207"/>
    <n v="1372"/>
    <x v="15"/>
    <d v="2024-11-13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przestawna2" cacheId="0" applyNumberFormats="0" applyBorderFormats="0" applyFontFormats="0" applyPatternFormats="0" applyAlignmentFormats="0" applyWidthHeightFormats="1" dataCaption="Wartości" grandTotalCaption="SUM" updatedVersion="5" minRefreshableVersion="3" useAutoFormatting="1" itemPrintTitles="1" createdVersion="5" indent="0" outline="1" outlineData="1" multipleFieldFilters="0" rowHeaderCaption="Year/month">
  <location ref="I126:K182" firstHeaderRow="0" firstDataRow="1" firstDataCol="1"/>
  <pivotFields count="8">
    <pivotField showAll="0"/>
    <pivotField dataField="1" numFmtId="164"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2">
    <field x="7"/>
    <field x="4"/>
  </rowFields>
  <rowItems count="56">
    <i>
      <x v="1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" fld="1" baseField="0" baseItem="0"/>
    <dataField name="Average" fld="1" subtotal="average" baseField="4" baseItem="11"/>
  </dataFields>
  <formats count="41">
    <format dxfId="232">
      <pivotArea type="all" dataOnly="0" outline="0" fieldPosition="0"/>
    </format>
    <format dxfId="231">
      <pivotArea outline="0" collapsedLevelsAreSubtotals="1" fieldPosition="0"/>
    </format>
    <format dxfId="230">
      <pivotArea dataOnly="0" labelOnly="1" grandRow="1" outline="0" fieldPosition="0"/>
    </format>
    <format dxfId="2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8">
      <pivotArea type="all" dataOnly="0" outline="0" fieldPosition="0"/>
    </format>
    <format dxfId="227">
      <pivotArea outline="0" collapsedLevelsAreSubtotals="1" fieldPosition="0"/>
    </format>
    <format dxfId="226">
      <pivotArea dataOnly="0" labelOnly="1" grandRow="1" outline="0" fieldPosition="0"/>
    </format>
    <format dxfId="2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dataOnly="0" labelOnly="1" grandRow="1" outline="0" fieldPosition="0"/>
    </format>
    <format dxfId="2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dataOnly="0" labelOnly="1" grandRow="1" outline="0" fieldPosition="0"/>
    </format>
    <format dxfId="2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7" type="button" dataOnly="0" labelOnly="1" outline="0" axis="axisRow" fieldPosition="0"/>
    </format>
    <format dxfId="209">
      <pivotArea dataOnly="0" labelOnly="1" fieldPosition="0">
        <references count="1">
          <reference field="7" count="5">
            <x v="1"/>
            <x v="2"/>
            <x v="3"/>
            <x v="4"/>
            <x v="5"/>
          </reference>
        </references>
      </pivotArea>
    </format>
    <format dxfId="208">
      <pivotArea dataOnly="0" labelOnly="1" grandRow="1" outline="0" fieldPosition="0"/>
    </format>
    <format dxfId="207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7" type="button" dataOnly="0" labelOnly="1" outline="0" axis="axisRow" fieldPosition="0"/>
    </format>
    <format dxfId="202">
      <pivotArea dataOnly="0" labelOnly="1" fieldPosition="0">
        <references count="1">
          <reference field="7" count="5">
            <x v="1"/>
            <x v="2"/>
            <x v="3"/>
            <x v="4"/>
            <x v="5"/>
          </reference>
        </references>
      </pivotArea>
    </format>
    <format dxfId="201">
      <pivotArea dataOnly="0" labelOnly="1" grandRow="1" outline="0" fieldPosition="0"/>
    </format>
    <format dxfId="200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1"/>
          </reference>
        </references>
      </pivotArea>
    </format>
    <format dxfId="1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7" type="button" dataOnly="0" labelOnly="1" outline="0" axis="axisRow" fieldPosition="0"/>
    </format>
    <format dxfId="67">
      <pivotArea dataOnly="0" labelOnly="1" fieldPosition="0">
        <references count="1">
          <reference field="7" count="5">
            <x v="1"/>
            <x v="2"/>
            <x v="3"/>
            <x v="4"/>
            <x v="5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1"/>
          </reference>
        </references>
      </pivotArea>
    </format>
    <format dxfId="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5" minRefreshableVersion="5" preserveFormatting="0" itemPrintTitles="1" createdVersion="5" indent="0" outline="1" outlineData="1" multipleFieldFilters="0" rowHeaderCaption="Expense category">
  <location ref="I120:K124" firstHeaderRow="0" firstDataRow="1" firstDataCol="1"/>
  <pivotFields count="8">
    <pivotField showAll="0"/>
    <pivotField dataField="1" numFmtId="164" showAll="0"/>
    <pivotField showAll="0"/>
    <pivotField axis="axisRow" showAll="0">
      <items count="4">
        <item x="1"/>
        <item x="0"/>
        <item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/>
    <pivotField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" fld="1" baseField="3" baseItem="1" numFmtId="1"/>
    <dataField name="Average" fld="1" subtotal="average" baseField="3" baseItem="0" numFmtId="1"/>
  </dataFields>
  <pivotTableStyleInfo name="PivotStyleDark23" showRowHeaders="1" showColHeaders="1" showRowStripes="0" showColStripes="0" showLastColumn="1"/>
  <filters count="1">
    <filter fld="4" type="dateBetween" evalOrder="-1" id="71" name="Data">
      <autoFilter ref="A1">
        <filterColumn colId="0">
          <customFilters and="1">
            <customFilter operator="greaterThanOrEqual" val="43831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przestawna3" cacheId="0" dataOnRows="1" applyNumberFormats="0" applyBorderFormats="0" applyFontFormats="0" applyPatternFormats="0" applyAlignmentFormats="0" applyWidthHeightFormats="1" dataCaption="Calculations_Petrol price" updatedVersion="5" minRefreshableVersion="3" useAutoFormatting="1" itemPrintTitles="1" createdVersion="5" indent="0" outline="1" outlineData="1" multipleFieldFilters="0">
  <location ref="I184:J188" firstHeaderRow="1" firstDataRow="1" firstDataCol="1"/>
  <pivotFields count="8">
    <pivotField showAll="0"/>
    <pivotField numFmtId="164" showAll="0"/>
    <pivotField showAll="0"/>
    <pivotField showAll="0" defaultSubtota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dataField="1" showAll="0"/>
    <pivotField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Average" fld="6" subtotal="average" baseField="0" baseItem="1417469568"/>
    <dataField name="Max" fld="6" subtotal="max" baseField="0" baseItem="1"/>
    <dataField name="Min" fld="6" subtotal="min" baseField="0" baseItem="1"/>
    <dataField name="Standard deviation" fld="6" subtotal="stdDev" baseField="0" baseItem="1"/>
  </dataFields>
  <formats count="33">
    <format dxfId="261">
      <pivotArea outline="0" collapsedLevelsAreSubtotals="1" fieldPosition="0"/>
    </format>
    <format dxfId="260">
      <pivotArea type="all" dataOnly="0" outline="0" fieldPosition="0"/>
    </format>
    <format dxfId="259">
      <pivotArea outline="0" collapsedLevelsAreSubtotals="1" fieldPosition="0"/>
    </format>
    <format dxfId="258">
      <pivotArea field="-2" type="button" dataOnly="0" labelOnly="1" outline="0" axis="axisRow" fieldPosition="0"/>
    </format>
    <format dxfId="2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-2" type="button" dataOnly="0" labelOnly="1" outline="0" axis="axisRow" fieldPosition="0"/>
    </format>
    <format dxfId="25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-2" type="button" dataOnly="0" labelOnly="1" outline="0" axis="axisRow" fieldPosition="0"/>
    </format>
    <format dxfId="24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-2" type="button" dataOnly="0" labelOnly="1" outline="0" axis="axisRow" fieldPosition="0"/>
    </format>
    <format dxfId="24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field="-2" type="button" dataOnly="0" labelOnly="1" outline="0" axis="axisRow" fieldPosition="0"/>
    </format>
    <format dxfId="2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field="-2" type="button" dataOnly="0" labelOnly="1" outline="0" axis="axisRow" fieldPosition="0"/>
    </format>
    <format dxfId="23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-2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-2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przestawna5" cacheId="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 chartFormat="17" rowHeaderCaption="Expenses">
  <location ref="G2:H8" firstHeaderRow="1" firstDataRow="1" firstDataCol="1"/>
  <pivotFields count="5">
    <pivotField showAll="0"/>
    <pivotField dataField="1" showAll="0"/>
    <pivotField axis="axisRow" showAll="0" sortType="ascending">
      <items count="18">
        <item h="1" x="6"/>
        <item h="1" x="2"/>
        <item h="1" x="13"/>
        <item m="1" x="16"/>
        <item n="OC_2020" x="4"/>
        <item n="OC_2021" x="7"/>
        <item n="OC_2022" x="11"/>
        <item n="OC_2023" x="14"/>
        <item n="OC_2024" x="15"/>
        <item h="1" x="8"/>
        <item h="1" x="5"/>
        <item h="1" x="0"/>
        <item h="1" x="3"/>
        <item h="1" x="12"/>
        <item h="1" x="10"/>
        <item h="1" x="9"/>
        <item h="1" x="1"/>
        <item t="default"/>
      </items>
    </pivotField>
    <pivotField numFmtId="14" showAll="0"/>
    <pivotField showAll="0"/>
  </pivotFields>
  <rowFields count="1">
    <field x="2"/>
  </rowFields>
  <rowItems count="6"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" fld="1" baseField="0" baseItem="0"/>
  </dataFields>
  <formats count="30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2" type="button" dataOnly="0" labelOnly="1" outline="0" axis="axisRow" fieldPosition="0"/>
    </format>
    <format dxfId="110">
      <pivotArea dataOnly="0" labelOnly="1" outline="0" axis="axisValues" fieldPosition="0"/>
    </format>
    <format dxfId="109">
      <pivotArea dataOnly="0" labelOnly="1" fieldPosition="0">
        <references count="1">
          <reference field="2" count="0"/>
        </references>
      </pivotArea>
    </format>
    <format dxfId="108">
      <pivotArea dataOnly="0" labelOnly="1" grandRow="1" outline="0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2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2" count="0"/>
        </references>
      </pivotArea>
    </format>
    <format dxfId="102">
      <pivotArea dataOnly="0" labelOnly="1" grandRow="1" outline="0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2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fieldPosition="0">
        <references count="1">
          <reference field="2" count="0"/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2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fieldPosition="0">
        <references count="1">
          <reference field="2" count="0"/>
        </references>
      </pivotArea>
    </format>
    <format dxfId="90">
      <pivotArea dataOnly="0" labelOnly="1" grandRow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2" type="button" dataOnly="0" labelOnly="1" outline="0" axis="axisRow" fieldPosition="0"/>
    </format>
    <format dxfId="86">
      <pivotArea dataOnly="0" labelOnly="1" outline="0" axis="axisValues" fieldPosition="0"/>
    </format>
    <format dxfId="85">
      <pivotArea dataOnly="0" labelOnly="1" fieldPosition="0">
        <references count="1">
          <reference field="2" count="0"/>
        </references>
      </pivotArea>
    </format>
    <format dxfId="84">
      <pivotArea dataOnly="0" labelOnly="1" grandRow="1" outline="0" fieldPosition="0"/>
    </format>
  </formats>
  <chartFormats count="1">
    <chartFormat chart="2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przestawna3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 chartFormat="9" rowHeaderCaption="Year/month">
  <location ref="A2:B55" firstHeaderRow="1" firstDataRow="1" firstDataCol="1"/>
  <pivotFields count="8">
    <pivotField showAll="0"/>
    <pivotField dataField="1" numFmtId="164"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2">
    <field x="7"/>
    <field x="4"/>
  </rowFields>
  <rowItems count="53"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" fld="1" baseField="0" baseItem="0"/>
  </dataFields>
  <formats count="47">
    <format dxfId="160">
      <pivotArea type="all" dataOnly="0" outline="0" fieldPosition="0"/>
    </format>
    <format dxfId="159">
      <pivotArea outline="0" collapsedLevelsAreSubtotals="1" fieldPosition="0"/>
    </format>
    <format dxfId="158">
      <pivotArea dataOnly="0" labelOnly="1" outline="0" axis="axisValues" fieldPosition="0"/>
    </format>
    <format dxfId="157">
      <pivotArea dataOnly="0" labelOnly="1" grandRow="1" outline="0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dataOnly="0" labelOnly="1" grandRow="1" outline="0" fieldPosition="0"/>
    </format>
    <format dxfId="152">
      <pivotArea type="all" dataOnly="0" outline="0" fieldPosition="0"/>
    </format>
    <format dxfId="151">
      <pivotArea outline="0" collapsedLevelsAreSubtotals="1" fieldPosition="0"/>
    </format>
    <format dxfId="150">
      <pivotArea dataOnly="0" labelOnly="1" outline="0" axis="axisValues" fieldPosition="0"/>
    </format>
    <format dxfId="149">
      <pivotArea dataOnly="0" labelOnly="1" grandRow="1" outline="0" fieldPosition="0"/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7" type="button" dataOnly="0" labelOnly="1" outline="0" axis="axisRow" fieldPosition="0"/>
    </format>
    <format dxfId="145">
      <pivotArea dataOnly="0" labelOnly="1" outline="0" axis="axisValues" fieldPosition="0"/>
    </format>
    <format dxfId="144">
      <pivotArea dataOnly="0" labelOnly="1" fieldPosition="0">
        <references count="1">
          <reference field="7" count="4">
            <x v="2"/>
            <x v="3"/>
            <x v="4"/>
            <x v="5"/>
          </reference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2"/>
          </reference>
        </references>
      </pivotArea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7" type="button" dataOnly="0" labelOnly="1" outline="0" axis="axisRow" fieldPosition="0"/>
    </format>
    <format dxfId="138">
      <pivotArea dataOnly="0" labelOnly="1" outline="0" axis="axisValues" fieldPosition="0"/>
    </format>
    <format dxfId="137">
      <pivotArea dataOnly="0" labelOnly="1" fieldPosition="0">
        <references count="1">
          <reference field="7" count="4">
            <x v="2"/>
            <x v="3"/>
            <x v="4"/>
            <x v="5"/>
          </reference>
        </references>
      </pivotArea>
    </format>
    <format dxfId="136">
      <pivotArea dataOnly="0" labelOnly="1" grandRow="1" outline="0" fieldPosition="0"/>
    </format>
    <format dxfId="135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2"/>
          </reference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7" type="button" dataOnly="0" labelOnly="1" outline="0" axis="axisRow" fieldPosition="0"/>
    </format>
    <format dxfId="131">
      <pivotArea dataOnly="0" labelOnly="1" outline="0" axis="axisValues" fieldPosition="0"/>
    </format>
    <format dxfId="130">
      <pivotArea dataOnly="0" labelOnly="1" fieldPosition="0">
        <references count="1">
          <reference field="7" count="4">
            <x v="2"/>
            <x v="3"/>
            <x v="4"/>
            <x v="5"/>
          </reference>
        </references>
      </pivotArea>
    </format>
    <format dxfId="129">
      <pivotArea dataOnly="0" labelOnly="1" grandRow="1" outline="0" fieldPosition="0"/>
    </format>
    <format dxfId="128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2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7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fieldPosition="0">
        <references count="1">
          <reference field="7" count="4">
            <x v="2"/>
            <x v="3"/>
            <x v="4"/>
            <x v="5"/>
          </reference>
        </references>
      </pivotArea>
    </format>
    <format dxfId="122">
      <pivotArea dataOnly="0" labelOnly="1" grandRow="1" outline="0" fieldPosition="0"/>
    </format>
    <format dxfId="121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2"/>
          </reference>
        </references>
      </pivotArea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7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7" count="4">
            <x v="2"/>
            <x v="3"/>
            <x v="4"/>
            <x v="5"/>
          </reference>
        </references>
      </pivotArea>
    </format>
    <format dxfId="115">
      <pivotArea dataOnly="0" labelOnly="1" grandRow="1" outline="0" fieldPosition="0"/>
    </format>
    <format dxfId="114">
      <pivotArea dataOnly="0" labelOnly="1" fieldPosition="0">
        <references count="2">
          <reference field="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7" count="1" selected="0">
            <x v="2"/>
          </reference>
        </references>
      </pivotArea>
    </format>
  </formats>
  <chartFormats count="1">
    <chartFormat chart="0" format="17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3" showRowHeaders="1" showColHeaders="1" showRowStripes="0" showColStripes="0" showLastColumn="1"/>
  <filters count="1">
    <filter fld="4" type="dateNewerThan" evalOrder="-1" id="1">
      <autoFilter ref="A1">
        <filterColumn colId="0">
          <customFilters>
            <customFilter operator="greaterThan" val="4419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przestawna4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 chartFormat="7" rowHeaderCaption="Year/month">
  <location ref="D2:E25" firstHeaderRow="1" firstDataRow="1" firstDataCol="1"/>
  <pivotFields count="6">
    <pivotField showAll="0"/>
    <pivotField showAll="0"/>
    <pivotField showAll="0"/>
    <pivotField axis="axisRow" numFmtId="14" showAll="0">
      <items count="7">
        <item x="0"/>
        <item n="IQ" x="1"/>
        <item n="IIQ" x="2"/>
        <item n="IIIQ" x="3"/>
        <item n="IVQ" x="4"/>
        <item x="5"/>
        <item t="default"/>
      </items>
    </pivotField>
    <pivotField dataField="1" showAl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2">
    <field x="5"/>
    <field x="3"/>
  </rowFields>
  <rowItems count="23">
    <i>
      <x v="1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Average" fld="4" subtotal="average" baseField="3" baseItem="11"/>
  </dataFields>
  <formats count="35"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5" type="button" dataOnly="0" labelOnly="1" outline="0" axis="axisRow" fieldPosition="0"/>
    </format>
    <format dxfId="192">
      <pivotArea dataOnly="0" labelOnly="1" outline="0" axis="axisValues" fieldPosition="0"/>
    </format>
    <format dxfId="191">
      <pivotArea dataOnly="0" labelOnly="1" fieldPosition="0">
        <references count="1">
          <reference field="5" count="5">
            <x v="1"/>
            <x v="2"/>
            <x v="3"/>
            <x v="4"/>
            <x v="5"/>
          </reference>
        </references>
      </pivotArea>
    </format>
    <format dxfId="190">
      <pivotArea dataOnly="0" labelOnly="1" grandRow="1" outline="0" fieldPosition="0"/>
    </format>
    <format dxfId="189">
      <pivotArea dataOnly="0" labelOnly="1" fieldPosition="0">
        <references count="2">
          <reference field="3" count="4">
            <x v="1"/>
            <x v="2"/>
            <x v="3"/>
            <x v="4"/>
          </reference>
          <reference field="5" count="1" selected="0">
            <x v="1"/>
          </reference>
        </references>
      </pivotArea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5" type="button" dataOnly="0" labelOnly="1" outline="0" axis="axisRow" fieldPosition="0"/>
    </format>
    <format dxfId="185">
      <pivotArea dataOnly="0" labelOnly="1" outline="0" axis="axisValues" fieldPosition="0"/>
    </format>
    <format dxfId="184">
      <pivotArea dataOnly="0" labelOnly="1" fieldPosition="0">
        <references count="1">
          <reference field="5" count="5">
            <x v="1"/>
            <x v="2"/>
            <x v="3"/>
            <x v="4"/>
            <x v="5"/>
          </reference>
        </references>
      </pivotArea>
    </format>
    <format dxfId="183">
      <pivotArea dataOnly="0" labelOnly="1" grandRow="1" outline="0" fieldPosition="0"/>
    </format>
    <format dxfId="182">
      <pivotArea dataOnly="0" labelOnly="1" fieldPosition="0">
        <references count="2">
          <reference field="3" count="4">
            <x v="1"/>
            <x v="2"/>
            <x v="3"/>
            <x v="4"/>
          </reference>
          <reference field="5" count="1" selected="0">
            <x v="1"/>
          </reference>
        </references>
      </pivotArea>
    </format>
    <format dxfId="181">
      <pivotArea type="all" dataOnly="0" outline="0" fieldPosition="0"/>
    </format>
    <format dxfId="180">
      <pivotArea outline="0" collapsedLevelsAreSubtotals="1" fieldPosition="0"/>
    </format>
    <format dxfId="179">
      <pivotArea field="5" type="button" dataOnly="0" labelOnly="1" outline="0" axis="axisRow" fieldPosition="0"/>
    </format>
    <format dxfId="178">
      <pivotArea dataOnly="0" labelOnly="1" outline="0" axis="axisValues" fieldPosition="0"/>
    </format>
    <format dxfId="177">
      <pivotArea dataOnly="0" labelOnly="1" fieldPosition="0">
        <references count="1">
          <reference field="5" count="5">
            <x v="1"/>
            <x v="2"/>
            <x v="3"/>
            <x v="4"/>
            <x v="5"/>
          </reference>
        </references>
      </pivotArea>
    </format>
    <format dxfId="176">
      <pivotArea dataOnly="0" labelOnly="1" grandRow="1" outline="0" fieldPosition="0"/>
    </format>
    <format dxfId="175">
      <pivotArea dataOnly="0" labelOnly="1" fieldPosition="0">
        <references count="2">
          <reference field="3" count="4">
            <x v="1"/>
            <x v="2"/>
            <x v="3"/>
            <x v="4"/>
          </reference>
          <reference field="5" count="1" selected="0">
            <x v="1"/>
          </reference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field="5" type="button" dataOnly="0" labelOnly="1" outline="0" axis="axisRow" fieldPosition="0"/>
    </format>
    <format dxfId="171">
      <pivotArea dataOnly="0" labelOnly="1" outline="0" axis="axisValues" fieldPosition="0"/>
    </format>
    <format dxfId="170">
      <pivotArea dataOnly="0" labelOnly="1" fieldPosition="0">
        <references count="1">
          <reference field="5" count="5">
            <x v="1"/>
            <x v="2"/>
            <x v="3"/>
            <x v="4"/>
            <x v="5"/>
          </reference>
        </references>
      </pivotArea>
    </format>
    <format dxfId="169">
      <pivotArea dataOnly="0" labelOnly="1" grandRow="1" outline="0" fieldPosition="0"/>
    </format>
    <format dxfId="168">
      <pivotArea dataOnly="0" labelOnly="1" fieldPosition="0">
        <references count="2">
          <reference field="3" count="4">
            <x v="1"/>
            <x v="2"/>
            <x v="3"/>
            <x v="4"/>
          </reference>
          <reference field="5" count="1" selected="0"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5" type="button" dataOnly="0" labelOnly="1" outline="0" axis="axisRow" fieldPosition="0"/>
    </format>
    <format dxfId="164">
      <pivotArea dataOnly="0" labelOnly="1" outline="0" axis="axisValues" fieldPosition="0"/>
    </format>
    <format dxfId="163">
      <pivotArea dataOnly="0" labelOnly="1" fieldPosition="0">
        <references count="1">
          <reference field="5" count="5">
            <x v="1"/>
            <x v="2"/>
            <x v="3"/>
            <x v="4"/>
            <x v="5"/>
          </reference>
        </references>
      </pivotArea>
    </format>
    <format dxfId="162">
      <pivotArea dataOnly="0" labelOnly="1" grandRow="1" outline="0" fieldPosition="0"/>
    </format>
    <format dxfId="161">
      <pivotArea dataOnly="0" labelOnly="1" fieldPosition="0">
        <references count="2">
          <reference field="3" count="4">
            <x v="1"/>
            <x v="2"/>
            <x v="3"/>
            <x v="4"/>
          </reference>
          <reference field="5" count="1" selected="0">
            <x v="1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Fragmentator_Data" sourceName="Data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" cache="Fragmentator_Data" caption="Time range" rowHeight="241300"/>
</slicers>
</file>

<file path=xl/tables/table1.xml><?xml version="1.0" encoding="utf-8"?>
<table xmlns="http://schemas.openxmlformats.org/spreadsheetml/2006/main" id="1" name="Wydatki" displayName="Wydatki" ref="A8:G225" totalsRowShown="0" headerRowDxfId="72" dataDxfId="71" headerRowBorderDxfId="198" tableBorderDxfId="197" totalsRowBorderDxfId="196">
  <autoFilter ref="A8:G225"/>
  <tableColumns count="7">
    <tableColumn id="1" name="Id" dataDxfId="79">
      <calculatedColumnFormula>ROW(Wydatki[[#This Row],[Amount]])-8</calculatedColumnFormula>
    </tableColumn>
    <tableColumn id="2" name="Amount" dataDxfId="78"/>
    <tableColumn id="3" name="Expenditure" dataDxfId="77"/>
    <tableColumn id="6" name="Category" dataDxfId="76">
      <calculatedColumnFormula>IF(COUNTIF(Wydatki[[#This Row],[Expenditure]],"*"&amp;"Parking"&amp;"*")=1,"Parking",IF(COUNTIF(Wydatki[[#This Row],[Expenditure]],"*"&amp;"Benzyna"&amp;"*")=1,"Benzyna","Inny wydatek"))</calculatedColumnFormula>
    </tableColumn>
    <tableColumn id="4" name="Data" dataDxfId="75"/>
    <tableColumn id="7" name="Purchase location" dataDxfId="74"/>
    <tableColumn id="5" name="Petrol price" dataDxfId="73">
      <calculatedColumnFormula>IFERROR(B9/MID(C9,9,4),"")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J2:K7" totalsRowShown="0" headerRowDxfId="83" dataDxfId="82">
  <autoFilter ref="J2:K7"/>
  <tableColumns count="2">
    <tableColumn id="1" name="Year" dataDxfId="81"/>
    <tableColumn id="2" name="Sum" dataDxfId="8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ywnaOśCzasu_Data" sourceName="Data">
  <pivotTables>
    <pivotTable tabId="1" name="Tabela przestawna1"/>
  </pivotTables>
  <state minimalRefreshVersion="6" lastRefreshVersion="6" pivotCacheId="2" filterType="dateBetween">
    <selection startDate="2020-01-01T00:00:00" endDate="2024-12-31T00:00:00"/>
    <bounds startDate="2020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1" cache="NatywnaOśCzasu_Data" caption="Time range for expense category" showSelectionLabel="0" showTimeLevel="0" showHorizontalScrollbar="0" level="0" selectionLevel="0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table" Target="../tables/table2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T302"/>
  <sheetViews>
    <sheetView tabSelected="1" workbookViewId="0">
      <selection activeCell="H14" sqref="H14"/>
    </sheetView>
  </sheetViews>
  <sheetFormatPr defaultColWidth="10.6640625" defaultRowHeight="15" customHeight="1" x14ac:dyDescent="0.3"/>
  <cols>
    <col min="1" max="1" width="4.5546875" style="21" customWidth="1"/>
    <col min="2" max="2" width="10.44140625" style="21" customWidth="1"/>
    <col min="3" max="3" width="9.5546875" style="21" customWidth="1"/>
    <col min="4" max="4" width="11" style="21" customWidth="1"/>
    <col min="5" max="5" width="21.88671875" style="21" bestFit="1" customWidth="1"/>
    <col min="6" max="6" width="11.109375" style="21" customWidth="1"/>
    <col min="7" max="7" width="6.33203125" style="21" customWidth="1"/>
    <col min="8" max="8" width="7.77734375" style="21" customWidth="1"/>
    <col min="9" max="9" width="22.77734375" style="21" customWidth="1"/>
    <col min="10" max="10" width="9.88671875" style="21" customWidth="1"/>
    <col min="11" max="11" width="16.33203125" style="21" customWidth="1"/>
    <col min="12" max="12" width="10.6640625" style="21"/>
    <col min="13" max="13" width="5.88671875" style="21" customWidth="1"/>
    <col min="14" max="17" width="7.77734375" style="21" customWidth="1"/>
    <col min="18" max="18" width="10" style="21" customWidth="1"/>
    <col min="19" max="19" width="7.77734375" style="21" customWidth="1"/>
    <col min="20" max="20" width="9" style="21" customWidth="1"/>
    <col min="21" max="16384" width="10.6640625" style="21"/>
  </cols>
  <sheetData>
    <row r="1" spans="1:20" ht="15" customHeight="1" x14ac:dyDescent="0.3">
      <c r="A1" s="55" t="s">
        <v>166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0" ht="15" customHeight="1" x14ac:dyDescent="0.3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</row>
    <row r="3" spans="1:20" ht="15" customHeight="1" x14ac:dyDescent="0.3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</row>
    <row r="4" spans="1:20" ht="15" customHeight="1" x14ac:dyDescent="0.3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</row>
    <row r="6" spans="1:20" ht="15" customHeight="1" x14ac:dyDescent="0.3">
      <c r="A6" s="56" t="s">
        <v>167</v>
      </c>
      <c r="B6" s="56"/>
      <c r="C6" s="56"/>
      <c r="D6" s="56"/>
      <c r="E6" s="56"/>
      <c r="F6" s="56"/>
      <c r="G6" s="56"/>
      <c r="I6" s="56" t="s">
        <v>168</v>
      </c>
      <c r="J6" s="56"/>
      <c r="K6" s="56"/>
      <c r="L6" s="56"/>
      <c r="M6" s="56"/>
      <c r="O6" s="59" t="s">
        <v>176</v>
      </c>
      <c r="P6" s="59"/>
      <c r="Q6" s="59"/>
      <c r="R6" s="59"/>
      <c r="S6" s="59"/>
      <c r="T6" s="59"/>
    </row>
    <row r="8" spans="1:20" ht="15" customHeight="1" x14ac:dyDescent="0.3">
      <c r="A8" s="1" t="s">
        <v>172</v>
      </c>
      <c r="B8" s="2" t="s">
        <v>173</v>
      </c>
      <c r="C8" s="2" t="s">
        <v>171</v>
      </c>
      <c r="D8" s="2" t="s">
        <v>174</v>
      </c>
      <c r="E8" s="2" t="s">
        <v>0</v>
      </c>
      <c r="F8" s="3" t="s">
        <v>170</v>
      </c>
      <c r="G8" s="4" t="s">
        <v>175</v>
      </c>
      <c r="I8" s="5" t="s">
        <v>172</v>
      </c>
      <c r="J8" s="5" t="s">
        <v>173</v>
      </c>
      <c r="K8" s="5" t="s">
        <v>171</v>
      </c>
      <c r="L8" s="5" t="s">
        <v>0</v>
      </c>
      <c r="M8" s="5" t="s">
        <v>175</v>
      </c>
      <c r="O8" s="5" t="s">
        <v>172</v>
      </c>
      <c r="P8" s="5" t="s">
        <v>173</v>
      </c>
      <c r="Q8" s="5" t="s">
        <v>171</v>
      </c>
      <c r="R8" s="5" t="s">
        <v>0</v>
      </c>
      <c r="S8" s="5" t="s">
        <v>175</v>
      </c>
      <c r="T8" s="5"/>
    </row>
    <row r="9" spans="1:20" ht="15" customHeight="1" x14ac:dyDescent="0.3">
      <c r="A9" s="6">
        <f>ROW(Wydatki[[#This Row],[Amount]])-8</f>
        <v>1</v>
      </c>
      <c r="B9" s="22">
        <v>100</v>
      </c>
      <c r="C9" s="23" t="s">
        <v>1</v>
      </c>
      <c r="D9" s="24" t="str">
        <f>IF(COUNTIF(Wydatki[[#This Row],[Expenditure]],"*"&amp;"Parking"&amp;"*")=1,"Parking",IF(COUNTIF(Wydatki[[#This Row],[Expenditure]],"*"&amp;"Benzyna"&amp;"*")=1,"Benzyna","Inny wydatek"))</f>
        <v>Inny wydatek</v>
      </c>
      <c r="E9" s="25">
        <v>44159</v>
      </c>
      <c r="F9" s="26" t="s">
        <v>153</v>
      </c>
      <c r="G9" s="27" t="str">
        <f>IFERROR(B9/MID(C9,9,4),"")</f>
        <v/>
      </c>
      <c r="I9" s="28"/>
      <c r="J9" s="28"/>
      <c r="K9" s="29" t="s">
        <v>127</v>
      </c>
      <c r="L9" s="28"/>
      <c r="M9" s="28"/>
      <c r="O9" s="28"/>
      <c r="P9" s="28" t="s">
        <v>128</v>
      </c>
      <c r="Q9" s="29"/>
      <c r="R9" s="28"/>
      <c r="S9" s="29"/>
      <c r="T9" s="28" t="b">
        <f>AND(ISERR(FIND("Benzyna",C9,1)),ISERR(FIND("Parking",C9,1)))</f>
        <v>1</v>
      </c>
    </row>
    <row r="10" spans="1:20" ht="15" customHeight="1" thickBot="1" x14ac:dyDescent="0.35">
      <c r="A10" s="6">
        <f>ROW(Wydatki[[#This Row],[Amount]])-8</f>
        <v>2</v>
      </c>
      <c r="B10" s="22">
        <v>11500</v>
      </c>
      <c r="C10" s="23" t="s">
        <v>2</v>
      </c>
      <c r="D10" s="23" t="str">
        <f>IF(COUNTIF(Wydatki[[#This Row],[Expenditure]],"*"&amp;"Parking"&amp;"*")=1,"Parking",IF(COUNTIF(Wydatki[[#This Row],[Expenditure]],"*"&amp;"Benzyna"&amp;"*")=1,"Benzyna","Inny wydatek"))</f>
        <v>Inny wydatek</v>
      </c>
      <c r="E10" s="25">
        <v>44160</v>
      </c>
      <c r="F10" s="26" t="s">
        <v>153</v>
      </c>
      <c r="G10" s="27" t="str">
        <f t="shared" ref="G10:G72" si="0">IFERROR(B10/MID(C10,9,4),"")</f>
        <v/>
      </c>
    </row>
    <row r="11" spans="1:20" ht="15" customHeight="1" x14ac:dyDescent="0.3">
      <c r="A11" s="6">
        <f>ROW(Wydatki[[#This Row],[Amount]])-8</f>
        <v>3</v>
      </c>
      <c r="B11" s="22">
        <v>30</v>
      </c>
      <c r="C11" s="23" t="s">
        <v>3</v>
      </c>
      <c r="D11" s="23" t="str">
        <f>IF(COUNTIF(Wydatki[[#This Row],[Expenditure]],"*"&amp;"Parking"&amp;"*")=1,"Parking",IF(COUNTIF(Wydatki[[#This Row],[Expenditure]],"*"&amp;"Benzyna"&amp;"*")=1,"Benzyna","Inny wydatek"))</f>
        <v>Inny wydatek</v>
      </c>
      <c r="E11" s="25">
        <v>44160</v>
      </c>
      <c r="F11" s="26" t="s">
        <v>153</v>
      </c>
      <c r="G11" s="27" t="str">
        <f t="shared" si="0"/>
        <v/>
      </c>
      <c r="I11" s="7" t="s">
        <v>172</v>
      </c>
      <c r="J11" s="8" t="s">
        <v>173</v>
      </c>
      <c r="K11" s="8" t="s">
        <v>171</v>
      </c>
      <c r="L11" s="8" t="s">
        <v>0</v>
      </c>
      <c r="M11" s="9" t="s">
        <v>175</v>
      </c>
      <c r="O11" s="7" t="s">
        <v>172</v>
      </c>
      <c r="P11" s="8" t="s">
        <v>173</v>
      </c>
      <c r="Q11" s="8" t="s">
        <v>171</v>
      </c>
      <c r="R11" s="8" t="s">
        <v>0</v>
      </c>
      <c r="S11" s="9" t="s">
        <v>175</v>
      </c>
    </row>
    <row r="12" spans="1:20" ht="15" customHeight="1" x14ac:dyDescent="0.3">
      <c r="A12" s="6">
        <f>ROW(Wydatki[[#This Row],[Amount]])-8</f>
        <v>4</v>
      </c>
      <c r="B12" s="22">
        <v>158</v>
      </c>
      <c r="C12" s="23" t="s">
        <v>4</v>
      </c>
      <c r="D12" s="23" t="str">
        <f>IF(COUNTIF(Wydatki[[#This Row],[Expenditure]],"*"&amp;"Parking"&amp;"*")=1,"Parking",IF(COUNTIF(Wydatki[[#This Row],[Expenditure]],"*"&amp;"Benzyna"&amp;"*")=1,"Benzyna","Inny wydatek"))</f>
        <v>Benzyna</v>
      </c>
      <c r="E12" s="25">
        <v>44160</v>
      </c>
      <c r="F12" s="26" t="s">
        <v>153</v>
      </c>
      <c r="G12" s="27">
        <f t="shared" si="0"/>
        <v>4.6745562130177518</v>
      </c>
      <c r="I12" s="10">
        <v>4</v>
      </c>
      <c r="J12" s="28">
        <v>158</v>
      </c>
      <c r="K12" s="28" t="s">
        <v>4</v>
      </c>
      <c r="L12" s="30">
        <v>44160</v>
      </c>
      <c r="M12" s="11">
        <v>4.67</v>
      </c>
      <c r="O12" s="10">
        <v>2</v>
      </c>
      <c r="P12" s="28">
        <v>11500</v>
      </c>
      <c r="Q12" s="28" t="s">
        <v>2</v>
      </c>
      <c r="R12" s="30">
        <v>44160</v>
      </c>
      <c r="S12" s="31"/>
    </row>
    <row r="13" spans="1:20" ht="15" customHeight="1" x14ac:dyDescent="0.3">
      <c r="A13" s="6">
        <f>ROW(Wydatki[[#This Row],[Amount]])-8</f>
        <v>5</v>
      </c>
      <c r="B13" s="22">
        <v>250</v>
      </c>
      <c r="C13" s="23" t="s">
        <v>5</v>
      </c>
      <c r="D13" s="23" t="str">
        <f>IF(COUNTIF(Wydatki[[#This Row],[Expenditure]],"*"&amp;"Parking"&amp;"*")=1,"Parking",IF(COUNTIF(Wydatki[[#This Row],[Expenditure]],"*"&amp;"Benzyna"&amp;"*")=1,"Benzyna","Inny wydatek"))</f>
        <v>Inny wydatek</v>
      </c>
      <c r="E13" s="25">
        <v>44161</v>
      </c>
      <c r="F13" s="26" t="s">
        <v>153</v>
      </c>
      <c r="G13" s="27" t="str">
        <f t="shared" si="0"/>
        <v/>
      </c>
      <c r="I13" s="10">
        <v>15</v>
      </c>
      <c r="J13" s="28">
        <v>127</v>
      </c>
      <c r="K13" s="28" t="s">
        <v>15</v>
      </c>
      <c r="L13" s="30">
        <v>44187</v>
      </c>
      <c r="M13" s="11">
        <v>4.67</v>
      </c>
      <c r="O13" s="10">
        <v>5</v>
      </c>
      <c r="P13" s="28">
        <v>250</v>
      </c>
      <c r="Q13" s="28" t="s">
        <v>5</v>
      </c>
      <c r="R13" s="30">
        <v>44161</v>
      </c>
      <c r="S13" s="31"/>
    </row>
    <row r="14" spans="1:20" ht="15" customHeight="1" x14ac:dyDescent="0.3">
      <c r="A14" s="6">
        <f>ROW(Wydatki[[#This Row],[Amount]])-8</f>
        <v>6</v>
      </c>
      <c r="B14" s="22">
        <v>60</v>
      </c>
      <c r="C14" s="23" t="s">
        <v>6</v>
      </c>
      <c r="D14" s="23" t="str">
        <f>IF(COUNTIF(Wydatki[[#This Row],[Expenditure]],"*"&amp;"Parking"&amp;"*")=1,"Parking",IF(COUNTIF(Wydatki[[#This Row],[Expenditure]],"*"&amp;"Benzyna"&amp;"*")=1,"Benzyna","Inny wydatek"))</f>
        <v>Inny wydatek</v>
      </c>
      <c r="E14" s="25">
        <v>44161</v>
      </c>
      <c r="F14" s="26" t="s">
        <v>153</v>
      </c>
      <c r="G14" s="27" t="str">
        <f t="shared" si="0"/>
        <v/>
      </c>
      <c r="I14" s="10">
        <v>16</v>
      </c>
      <c r="J14" s="28">
        <v>133</v>
      </c>
      <c r="K14" s="28" t="s">
        <v>16</v>
      </c>
      <c r="L14" s="30">
        <v>44207</v>
      </c>
      <c r="M14" s="11">
        <v>4.72</v>
      </c>
      <c r="O14" s="10">
        <v>9</v>
      </c>
      <c r="P14" s="28">
        <v>159</v>
      </c>
      <c r="Q14" s="28" t="s">
        <v>9</v>
      </c>
      <c r="R14" s="30">
        <v>44168</v>
      </c>
      <c r="S14" s="31"/>
    </row>
    <row r="15" spans="1:20" ht="15" customHeight="1" x14ac:dyDescent="0.3">
      <c r="A15" s="6">
        <f>ROW(Wydatki[[#This Row],[Amount]])-8</f>
        <v>7</v>
      </c>
      <c r="B15" s="22">
        <v>60</v>
      </c>
      <c r="C15" s="23" t="s">
        <v>7</v>
      </c>
      <c r="D15" s="23" t="str">
        <f>IF(COUNTIF(Wydatki[[#This Row],[Expenditure]],"*"&amp;"Parking"&amp;"*")=1,"Parking",IF(COUNTIF(Wydatki[[#This Row],[Expenditure]],"*"&amp;"Benzyna"&amp;"*")=1,"Benzyna","Inny wydatek"))</f>
        <v>Parking</v>
      </c>
      <c r="E15" s="25">
        <v>44166</v>
      </c>
      <c r="F15" s="26" t="s">
        <v>152</v>
      </c>
      <c r="G15" s="27" t="str">
        <f t="shared" si="0"/>
        <v/>
      </c>
      <c r="I15" s="10">
        <v>19</v>
      </c>
      <c r="J15" s="28">
        <v>139</v>
      </c>
      <c r="K15" s="28" t="s">
        <v>19</v>
      </c>
      <c r="L15" s="30">
        <v>44244</v>
      </c>
      <c r="M15" s="11">
        <v>4.91</v>
      </c>
      <c r="O15" s="10">
        <v>10</v>
      </c>
      <c r="P15" s="28">
        <v>298</v>
      </c>
      <c r="Q15" s="28" t="s">
        <v>10</v>
      </c>
      <c r="R15" s="30">
        <v>44168</v>
      </c>
      <c r="S15" s="31"/>
    </row>
    <row r="16" spans="1:20" ht="15" customHeight="1" x14ac:dyDescent="0.3">
      <c r="A16" s="6">
        <f>ROW(Wydatki[[#This Row],[Amount]])-8</f>
        <v>8</v>
      </c>
      <c r="B16" s="22">
        <v>79</v>
      </c>
      <c r="C16" s="23" t="s">
        <v>8</v>
      </c>
      <c r="D16" s="23" t="str">
        <f>IF(COUNTIF(Wydatki[[#This Row],[Expenditure]],"*"&amp;"Parking"&amp;"*")=1,"Parking",IF(COUNTIF(Wydatki[[#This Row],[Expenditure]],"*"&amp;"Benzyna"&amp;"*")=1,"Benzyna","Inny wydatek"))</f>
        <v>Inny wydatek</v>
      </c>
      <c r="E16" s="25">
        <v>44168</v>
      </c>
      <c r="F16" s="26" t="s">
        <v>153</v>
      </c>
      <c r="G16" s="27" t="str">
        <f t="shared" si="0"/>
        <v/>
      </c>
      <c r="I16" s="10">
        <v>20</v>
      </c>
      <c r="J16" s="28">
        <v>139</v>
      </c>
      <c r="K16" s="28" t="s">
        <v>20</v>
      </c>
      <c r="L16" s="30">
        <v>44255</v>
      </c>
      <c r="M16" s="11">
        <v>5.04</v>
      </c>
      <c r="O16" s="10">
        <v>11</v>
      </c>
      <c r="P16" s="28">
        <v>1013</v>
      </c>
      <c r="Q16" s="28" t="s">
        <v>11</v>
      </c>
      <c r="R16" s="30">
        <v>44168</v>
      </c>
      <c r="S16" s="31"/>
    </row>
    <row r="17" spans="1:20" ht="15" customHeight="1" x14ac:dyDescent="0.3">
      <c r="A17" s="6">
        <f>ROW(Wydatki[[#This Row],[Amount]])-8</f>
        <v>9</v>
      </c>
      <c r="B17" s="22">
        <v>159</v>
      </c>
      <c r="C17" s="23" t="s">
        <v>9</v>
      </c>
      <c r="D17" s="23" t="str">
        <f>IF(COUNTIF(Wydatki[[#This Row],[Expenditure]],"*"&amp;"Parking"&amp;"*")=1,"Parking",IF(COUNTIF(Wydatki[[#This Row],[Expenditure]],"*"&amp;"Benzyna"&amp;"*")=1,"Benzyna","Inny wydatek"))</f>
        <v>Inny wydatek</v>
      </c>
      <c r="E17" s="25">
        <v>44168</v>
      </c>
      <c r="F17" s="26" t="s">
        <v>153</v>
      </c>
      <c r="G17" s="27" t="str">
        <f t="shared" si="0"/>
        <v/>
      </c>
      <c r="I17" s="10">
        <v>23</v>
      </c>
      <c r="J17" s="28">
        <v>162</v>
      </c>
      <c r="K17" s="28" t="s">
        <v>23</v>
      </c>
      <c r="L17" s="30">
        <v>44282</v>
      </c>
      <c r="M17" s="11">
        <v>5.23</v>
      </c>
      <c r="O17" s="10">
        <v>18</v>
      </c>
      <c r="P17" s="28">
        <v>181</v>
      </c>
      <c r="Q17" s="28" t="s">
        <v>18</v>
      </c>
      <c r="R17" s="32">
        <v>44225</v>
      </c>
      <c r="S17" s="31"/>
    </row>
    <row r="18" spans="1:20" ht="15" customHeight="1" x14ac:dyDescent="0.3">
      <c r="A18" s="6">
        <f>ROW(Wydatki[[#This Row],[Amount]])-8</f>
        <v>10</v>
      </c>
      <c r="B18" s="22">
        <v>298</v>
      </c>
      <c r="C18" s="23" t="s">
        <v>10</v>
      </c>
      <c r="D18" s="23" t="str">
        <f>IF(COUNTIF(Wydatki[[#This Row],[Expenditure]],"*"&amp;"Parking"&amp;"*")=1,"Parking",IF(COUNTIF(Wydatki[[#This Row],[Expenditure]],"*"&amp;"Benzyna"&amp;"*")=1,"Benzyna","Inny wydatek"))</f>
        <v>Inny wydatek</v>
      </c>
      <c r="E18" s="25">
        <v>44168</v>
      </c>
      <c r="F18" s="26" t="s">
        <v>153</v>
      </c>
      <c r="G18" s="27" t="str">
        <f t="shared" si="0"/>
        <v/>
      </c>
      <c r="I18" s="10">
        <v>30</v>
      </c>
      <c r="J18" s="28">
        <v>137</v>
      </c>
      <c r="K18" s="28" t="s">
        <v>25</v>
      </c>
      <c r="L18" s="30">
        <v>44320</v>
      </c>
      <c r="M18" s="11">
        <v>5.44</v>
      </c>
      <c r="O18" s="10">
        <v>47</v>
      </c>
      <c r="P18" s="28">
        <v>650</v>
      </c>
      <c r="Q18" s="28" t="s">
        <v>33</v>
      </c>
      <c r="R18" s="30">
        <v>44464</v>
      </c>
      <c r="S18" s="31"/>
    </row>
    <row r="19" spans="1:20" ht="15" customHeight="1" x14ac:dyDescent="0.3">
      <c r="A19" s="6">
        <f>ROW(Wydatki[[#This Row],[Amount]])-8</f>
        <v>11</v>
      </c>
      <c r="B19" s="22">
        <v>1013</v>
      </c>
      <c r="C19" s="23" t="s">
        <v>131</v>
      </c>
      <c r="D19" s="23" t="str">
        <f>IF(COUNTIF(Wydatki[[#This Row],[Expenditure]],"*"&amp;"Parking"&amp;"*")=1,"Parking",IF(COUNTIF(Wydatki[[#This Row],[Expenditure]],"*"&amp;"Benzyna"&amp;"*")=1,"Benzyna","Inny wydatek"))</f>
        <v>Inny wydatek</v>
      </c>
      <c r="E19" s="25">
        <v>44168</v>
      </c>
      <c r="F19" s="26" t="s">
        <v>153</v>
      </c>
      <c r="G19" s="27" t="str">
        <f t="shared" si="0"/>
        <v/>
      </c>
      <c r="I19" s="10">
        <v>34</v>
      </c>
      <c r="J19" s="28">
        <v>164</v>
      </c>
      <c r="K19" s="28" t="s">
        <v>28</v>
      </c>
      <c r="L19" s="30">
        <v>44340</v>
      </c>
      <c r="M19" s="11">
        <v>4.9800000000000004</v>
      </c>
      <c r="O19" s="10">
        <v>54</v>
      </c>
      <c r="P19" s="28">
        <v>1014</v>
      </c>
      <c r="Q19" s="28" t="s">
        <v>36</v>
      </c>
      <c r="R19" s="30">
        <v>44517</v>
      </c>
      <c r="S19" s="31"/>
    </row>
    <row r="20" spans="1:20" ht="15" customHeight="1" x14ac:dyDescent="0.3">
      <c r="A20" s="6">
        <f>ROW(Wydatki[[#This Row],[Amount]])-8</f>
        <v>12</v>
      </c>
      <c r="B20" s="22">
        <v>45</v>
      </c>
      <c r="C20" s="23" t="s">
        <v>12</v>
      </c>
      <c r="D20" s="23" t="str">
        <f>IF(COUNTIF(Wydatki[[#This Row],[Expenditure]],"*"&amp;"Parking"&amp;"*")=1,"Parking",IF(COUNTIF(Wydatki[[#This Row],[Expenditure]],"*"&amp;"Benzyna"&amp;"*")=1,"Benzyna","Inny wydatek"))</f>
        <v>Inny wydatek</v>
      </c>
      <c r="E20" s="25">
        <v>44171</v>
      </c>
      <c r="F20" s="26" t="s">
        <v>152</v>
      </c>
      <c r="G20" s="27" t="str">
        <f t="shared" si="0"/>
        <v/>
      </c>
      <c r="I20" s="10">
        <v>41</v>
      </c>
      <c r="J20" s="28">
        <v>176</v>
      </c>
      <c r="K20" s="28" t="s">
        <v>29</v>
      </c>
      <c r="L20" s="30">
        <v>44379</v>
      </c>
      <c r="M20" s="11">
        <v>5.66</v>
      </c>
      <c r="O20" s="10">
        <v>66</v>
      </c>
      <c r="P20" s="28">
        <v>171</v>
      </c>
      <c r="Q20" s="28" t="s">
        <v>45</v>
      </c>
      <c r="R20" s="30">
        <v>44532</v>
      </c>
      <c r="S20" s="31"/>
    </row>
    <row r="21" spans="1:20" ht="15" customHeight="1" x14ac:dyDescent="0.3">
      <c r="A21" s="6">
        <f>ROW(Wydatki[[#This Row],[Amount]])-8</f>
        <v>13</v>
      </c>
      <c r="B21" s="22">
        <v>69</v>
      </c>
      <c r="C21" s="23" t="s">
        <v>13</v>
      </c>
      <c r="D21" s="23" t="str">
        <f>IF(COUNTIF(Wydatki[[#This Row],[Expenditure]],"*"&amp;"Parking"&amp;"*")=1,"Parking",IF(COUNTIF(Wydatki[[#This Row],[Expenditure]],"*"&amp;"Benzyna"&amp;"*")=1,"Benzyna","Inny wydatek"))</f>
        <v>Inny wydatek</v>
      </c>
      <c r="E21" s="25">
        <v>44173</v>
      </c>
      <c r="F21" s="26" t="s">
        <v>152</v>
      </c>
      <c r="G21" s="27" t="str">
        <f t="shared" si="0"/>
        <v/>
      </c>
      <c r="I21" s="10">
        <v>43</v>
      </c>
      <c r="J21" s="28">
        <v>149</v>
      </c>
      <c r="K21" s="28" t="s">
        <v>30</v>
      </c>
      <c r="L21" s="30">
        <v>44401</v>
      </c>
      <c r="M21" s="11">
        <v>5.5</v>
      </c>
      <c r="O21" s="10">
        <v>89</v>
      </c>
      <c r="P21" s="28">
        <v>180</v>
      </c>
      <c r="Q21" s="28" t="s">
        <v>58</v>
      </c>
      <c r="R21" s="30">
        <v>44702</v>
      </c>
      <c r="S21" s="31"/>
    </row>
    <row r="22" spans="1:20" ht="15" customHeight="1" x14ac:dyDescent="0.3">
      <c r="A22" s="6">
        <f>ROW(Wydatki[[#This Row],[Amount]])-8</f>
        <v>14</v>
      </c>
      <c r="B22" s="22">
        <v>15</v>
      </c>
      <c r="C22" s="23" t="s">
        <v>14</v>
      </c>
      <c r="D22" s="23" t="str">
        <f>IF(COUNTIF(Wydatki[[#This Row],[Expenditure]],"*"&amp;"Parking"&amp;"*")=1,"Parking",IF(COUNTIF(Wydatki[[#This Row],[Expenditure]],"*"&amp;"Benzyna"&amp;"*")=1,"Benzyna","Inny wydatek"))</f>
        <v>Inny wydatek</v>
      </c>
      <c r="E22" s="25">
        <v>44186</v>
      </c>
      <c r="F22" s="26" t="s">
        <v>152</v>
      </c>
      <c r="G22" s="27" t="str">
        <f t="shared" si="0"/>
        <v/>
      </c>
      <c r="I22" s="10">
        <v>46</v>
      </c>
      <c r="J22" s="28">
        <v>129</v>
      </c>
      <c r="K22" s="28" t="s">
        <v>32</v>
      </c>
      <c r="L22" s="30">
        <v>44435</v>
      </c>
      <c r="M22" s="11">
        <v>5.63</v>
      </c>
      <c r="O22" s="10">
        <v>96</v>
      </c>
      <c r="P22" s="28">
        <v>400</v>
      </c>
      <c r="Q22" s="28" t="s">
        <v>63</v>
      </c>
      <c r="R22" s="30">
        <v>44826</v>
      </c>
      <c r="S22" s="31"/>
    </row>
    <row r="23" spans="1:20" ht="15" customHeight="1" x14ac:dyDescent="0.3">
      <c r="A23" s="6">
        <f>ROW(Wydatki[[#This Row],[Amount]])-8</f>
        <v>15</v>
      </c>
      <c r="B23" s="22">
        <v>127</v>
      </c>
      <c r="C23" s="23" t="s">
        <v>15</v>
      </c>
      <c r="D23" s="23" t="str">
        <f>IF(COUNTIF(Wydatki[[#This Row],[Expenditure]],"*"&amp;"Parking"&amp;"*")=1,"Parking",IF(COUNTIF(Wydatki[[#This Row],[Expenditure]],"*"&amp;"Benzyna"&amp;"*")=1,"Benzyna","Inny wydatek"))</f>
        <v>Benzyna</v>
      </c>
      <c r="E23" s="25">
        <v>44187</v>
      </c>
      <c r="F23" s="26" t="s">
        <v>152</v>
      </c>
      <c r="G23" s="27">
        <f t="shared" si="0"/>
        <v>4.6691176470588234</v>
      </c>
      <c r="I23" s="10">
        <v>48</v>
      </c>
      <c r="J23" s="28">
        <v>153</v>
      </c>
      <c r="K23" s="28" t="s">
        <v>34</v>
      </c>
      <c r="L23" s="30">
        <v>44468</v>
      </c>
      <c r="M23" s="11">
        <v>5.82</v>
      </c>
      <c r="O23" s="10">
        <v>112</v>
      </c>
      <c r="P23" s="23">
        <v>835</v>
      </c>
      <c r="Q23" s="23" t="s">
        <v>160</v>
      </c>
      <c r="R23" s="33">
        <v>44896</v>
      </c>
      <c r="S23" s="31"/>
    </row>
    <row r="24" spans="1:20" ht="15" customHeight="1" x14ac:dyDescent="0.3">
      <c r="A24" s="6">
        <f>ROW(Wydatki[[#This Row],[Amount]])-8</f>
        <v>16</v>
      </c>
      <c r="B24" s="22">
        <v>133</v>
      </c>
      <c r="C24" s="23" t="s">
        <v>16</v>
      </c>
      <c r="D24" s="23" t="str">
        <f>IF(COUNTIF(Wydatki[[#This Row],[Expenditure]],"*"&amp;"Parking"&amp;"*")=1,"Parking",IF(COUNTIF(Wydatki[[#This Row],[Expenditure]],"*"&amp;"Benzyna"&amp;"*")=1,"Benzyna","Inny wydatek"))</f>
        <v>Benzyna</v>
      </c>
      <c r="E24" s="25">
        <v>44207</v>
      </c>
      <c r="F24" s="26" t="s">
        <v>152</v>
      </c>
      <c r="G24" s="27">
        <f t="shared" si="0"/>
        <v>4.7163120567375891</v>
      </c>
      <c r="I24" s="10">
        <v>62</v>
      </c>
      <c r="J24" s="28">
        <v>206</v>
      </c>
      <c r="K24" s="28" t="s">
        <v>41</v>
      </c>
      <c r="L24" s="30">
        <v>44532</v>
      </c>
      <c r="M24" s="11">
        <v>5.97</v>
      </c>
      <c r="O24" s="10">
        <v>156</v>
      </c>
      <c r="P24" s="28">
        <v>360</v>
      </c>
      <c r="Q24" s="28" t="s">
        <v>95</v>
      </c>
      <c r="R24" s="30">
        <v>45208</v>
      </c>
      <c r="S24" s="31"/>
    </row>
    <row r="25" spans="1:20" ht="15" customHeight="1" x14ac:dyDescent="0.3">
      <c r="A25" s="6">
        <f>ROW(Wydatki[[#This Row],[Amount]])-8</f>
        <v>17</v>
      </c>
      <c r="B25" s="22">
        <v>210</v>
      </c>
      <c r="C25" s="23" t="s">
        <v>17</v>
      </c>
      <c r="D25" s="23" t="str">
        <f>IF(COUNTIF(Wydatki[[#This Row],[Expenditure]],"*"&amp;"Parking"&amp;"*")=1,"Parking",IF(COUNTIF(Wydatki[[#This Row],[Expenditure]],"*"&amp;"Benzyna"&amp;"*")=1,"Benzyna","Inny wydatek"))</f>
        <v>Parking</v>
      </c>
      <c r="E25" s="25">
        <v>44225</v>
      </c>
      <c r="F25" s="26" t="s">
        <v>152</v>
      </c>
      <c r="G25" s="27" t="str">
        <f t="shared" si="0"/>
        <v/>
      </c>
      <c r="I25" s="10">
        <v>71</v>
      </c>
      <c r="J25" s="28">
        <v>161</v>
      </c>
      <c r="K25" s="28" t="s">
        <v>19</v>
      </c>
      <c r="L25" s="30">
        <v>44552</v>
      </c>
      <c r="M25" s="11">
        <v>5.69</v>
      </c>
      <c r="O25" s="10">
        <v>160</v>
      </c>
      <c r="P25" s="28">
        <v>772</v>
      </c>
      <c r="Q25" s="28" t="s">
        <v>97</v>
      </c>
      <c r="R25" s="30">
        <v>45224</v>
      </c>
      <c r="S25" s="31"/>
    </row>
    <row r="26" spans="1:20" ht="15" customHeight="1" x14ac:dyDescent="0.3">
      <c r="A26" s="6">
        <f>ROW(Wydatki[[#This Row],[Amount]])-8</f>
        <v>18</v>
      </c>
      <c r="B26" s="22">
        <v>181</v>
      </c>
      <c r="C26" s="23" t="s">
        <v>18</v>
      </c>
      <c r="D26" s="23" t="str">
        <f>IF(COUNTIF(Wydatki[[#This Row],[Expenditure]],"*"&amp;"Parking"&amp;"*")=1,"Parking",IF(COUNTIF(Wydatki[[#This Row],[Expenditure]],"*"&amp;"Benzyna"&amp;"*")=1,"Benzyna","Inny wydatek"))</f>
        <v>Inny wydatek</v>
      </c>
      <c r="E26" s="25">
        <v>44225</v>
      </c>
      <c r="F26" s="26" t="s">
        <v>152</v>
      </c>
      <c r="G26" s="27" t="str">
        <f t="shared" si="0"/>
        <v/>
      </c>
      <c r="I26" s="10">
        <v>73</v>
      </c>
      <c r="J26" s="28">
        <v>160</v>
      </c>
      <c r="K26" s="28" t="s">
        <v>49</v>
      </c>
      <c r="L26" s="30">
        <v>44561</v>
      </c>
      <c r="M26" s="11">
        <v>5.69</v>
      </c>
      <c r="O26" s="10">
        <v>163</v>
      </c>
      <c r="P26" s="28">
        <v>1162</v>
      </c>
      <c r="Q26" s="28" t="s">
        <v>159</v>
      </c>
      <c r="R26" s="30">
        <v>45238</v>
      </c>
      <c r="S26" s="31"/>
    </row>
    <row r="27" spans="1:20" ht="15" customHeight="1" x14ac:dyDescent="0.3">
      <c r="A27" s="6">
        <f>ROW(Wydatki[[#This Row],[Amount]])-8</f>
        <v>19</v>
      </c>
      <c r="B27" s="22">
        <v>139</v>
      </c>
      <c r="C27" s="23" t="s">
        <v>19</v>
      </c>
      <c r="D27" s="23" t="str">
        <f>IF(COUNTIF(Wydatki[[#This Row],[Expenditure]],"*"&amp;"Parking"&amp;"*")=1,"Parking",IF(COUNTIF(Wydatki[[#This Row],[Expenditure]],"*"&amp;"Benzyna"&amp;"*")=1,"Benzyna","Inny wydatek"))</f>
        <v>Benzyna</v>
      </c>
      <c r="E27" s="25">
        <v>44244</v>
      </c>
      <c r="F27" s="26" t="s">
        <v>152</v>
      </c>
      <c r="G27" s="27">
        <f t="shared" si="0"/>
        <v>4.9116607773851593</v>
      </c>
      <c r="I27" s="10">
        <v>75</v>
      </c>
      <c r="J27" s="28">
        <v>171</v>
      </c>
      <c r="K27" s="28" t="s">
        <v>51</v>
      </c>
      <c r="L27" s="30">
        <v>44573</v>
      </c>
      <c r="M27" s="11">
        <v>5.68</v>
      </c>
      <c r="O27" s="10">
        <v>207</v>
      </c>
      <c r="P27" s="28">
        <v>1372</v>
      </c>
      <c r="Q27" s="28" t="s">
        <v>158</v>
      </c>
      <c r="R27" s="30">
        <v>45609</v>
      </c>
      <c r="S27" s="31"/>
    </row>
    <row r="28" spans="1:20" ht="15" customHeight="1" x14ac:dyDescent="0.3">
      <c r="A28" s="6">
        <f>ROW(Wydatki[[#This Row],[Amount]])-8</f>
        <v>20</v>
      </c>
      <c r="B28" s="22">
        <v>139</v>
      </c>
      <c r="C28" s="23" t="s">
        <v>20</v>
      </c>
      <c r="D28" s="23" t="str">
        <f>IF(COUNTIF(Wydatki[[#This Row],[Expenditure]],"*"&amp;"Parking"&amp;"*")=1,"Parking",IF(COUNTIF(Wydatki[[#This Row],[Expenditure]],"*"&amp;"Benzyna"&amp;"*")=1,"Benzyna","Inny wydatek"))</f>
        <v>Benzyna</v>
      </c>
      <c r="E28" s="25">
        <v>44255</v>
      </c>
      <c r="F28" s="26" t="s">
        <v>152</v>
      </c>
      <c r="G28" s="27">
        <f t="shared" si="0"/>
        <v>5.0362318840579707</v>
      </c>
      <c r="I28" s="10">
        <v>78</v>
      </c>
      <c r="J28" s="28">
        <v>169</v>
      </c>
      <c r="K28" s="28" t="s">
        <v>52</v>
      </c>
      <c r="L28" s="30">
        <v>44606</v>
      </c>
      <c r="M28" s="11">
        <v>5.3</v>
      </c>
    </row>
    <row r="29" spans="1:20" ht="15" customHeight="1" x14ac:dyDescent="0.3">
      <c r="A29" s="6">
        <f>ROW(Wydatki[[#This Row],[Amount]])-8</f>
        <v>21</v>
      </c>
      <c r="B29" s="22">
        <v>15</v>
      </c>
      <c r="C29" s="23" t="s">
        <v>21</v>
      </c>
      <c r="D29" s="23" t="str">
        <f>IF(COUNTIF(Wydatki[[#This Row],[Expenditure]],"*"&amp;"Parking"&amp;"*")=1,"Parking",IF(COUNTIF(Wydatki[[#This Row],[Expenditure]],"*"&amp;"Benzyna"&amp;"*")=1,"Benzyna","Inny wydatek"))</f>
        <v>Inny wydatek</v>
      </c>
      <c r="E29" s="25">
        <v>44255</v>
      </c>
      <c r="F29" s="26" t="s">
        <v>152</v>
      </c>
      <c r="G29" s="27" t="str">
        <f t="shared" si="0"/>
        <v/>
      </c>
      <c r="I29" s="10">
        <v>80</v>
      </c>
      <c r="J29" s="28">
        <v>110</v>
      </c>
      <c r="K29" s="28" t="s">
        <v>53</v>
      </c>
      <c r="L29" s="30">
        <v>44627</v>
      </c>
      <c r="M29" s="11">
        <v>6.51</v>
      </c>
      <c r="O29" s="59" t="s">
        <v>169</v>
      </c>
      <c r="P29" s="59"/>
      <c r="Q29" s="59"/>
      <c r="R29" s="59"/>
      <c r="S29" s="59"/>
      <c r="T29" s="59"/>
    </row>
    <row r="30" spans="1:20" ht="15" customHeight="1" x14ac:dyDescent="0.3">
      <c r="A30" s="6">
        <f>ROW(Wydatki[[#This Row],[Amount]])-8</f>
        <v>22</v>
      </c>
      <c r="B30" s="22">
        <v>7</v>
      </c>
      <c r="C30" s="23" t="s">
        <v>22</v>
      </c>
      <c r="D30" s="23" t="str">
        <f>IF(COUNTIF(Wydatki[[#This Row],[Expenditure]],"*"&amp;"Parking"&amp;"*")=1,"Parking",IF(COUNTIF(Wydatki[[#This Row],[Expenditure]],"*"&amp;"Benzyna"&amp;"*")=1,"Benzyna","Inny wydatek"))</f>
        <v>Parking</v>
      </c>
      <c r="E30" s="25">
        <v>44280</v>
      </c>
      <c r="F30" s="26" t="s">
        <v>152</v>
      </c>
      <c r="G30" s="27" t="str">
        <f t="shared" si="0"/>
        <v/>
      </c>
      <c r="I30" s="10">
        <v>82</v>
      </c>
      <c r="J30" s="28">
        <v>147</v>
      </c>
      <c r="K30" s="28" t="s">
        <v>55</v>
      </c>
      <c r="L30" s="30">
        <v>44628</v>
      </c>
      <c r="M30" s="11">
        <v>6.84</v>
      </c>
    </row>
    <row r="31" spans="1:20" ht="15" customHeight="1" x14ac:dyDescent="0.3">
      <c r="A31" s="6">
        <f>ROW(Wydatki[[#This Row],[Amount]])-8</f>
        <v>23</v>
      </c>
      <c r="B31" s="22">
        <v>162</v>
      </c>
      <c r="C31" s="23" t="s">
        <v>23</v>
      </c>
      <c r="D31" s="23" t="str">
        <f>IF(COUNTIF(Wydatki[[#This Row],[Expenditure]],"*"&amp;"Parking"&amp;"*")=1,"Parking",IF(COUNTIF(Wydatki[[#This Row],[Expenditure]],"*"&amp;"Benzyna"&amp;"*")=1,"Benzyna","Inny wydatek"))</f>
        <v>Benzyna</v>
      </c>
      <c r="E31" s="25">
        <v>44282</v>
      </c>
      <c r="F31" s="26" t="s">
        <v>153</v>
      </c>
      <c r="G31" s="27" t="str">
        <f t="shared" si="0"/>
        <v/>
      </c>
      <c r="I31" s="10">
        <v>86</v>
      </c>
      <c r="J31" s="28">
        <v>222</v>
      </c>
      <c r="K31" s="28" t="s">
        <v>57</v>
      </c>
      <c r="L31" s="30">
        <v>44649</v>
      </c>
      <c r="M31" s="11">
        <v>6.65</v>
      </c>
      <c r="O31" s="5" t="s">
        <v>172</v>
      </c>
      <c r="P31" s="5" t="s">
        <v>173</v>
      </c>
      <c r="Q31" s="5" t="s">
        <v>171</v>
      </c>
      <c r="R31" s="5" t="s">
        <v>0</v>
      </c>
      <c r="S31" s="5" t="s">
        <v>175</v>
      </c>
      <c r="T31" s="5"/>
    </row>
    <row r="32" spans="1:20" ht="15" customHeight="1" x14ac:dyDescent="0.3">
      <c r="A32" s="6">
        <f>ROW(Wydatki[[#This Row],[Amount]])-8</f>
        <v>24</v>
      </c>
      <c r="B32" s="22">
        <v>4</v>
      </c>
      <c r="C32" s="23" t="s">
        <v>22</v>
      </c>
      <c r="D32" s="23" t="str">
        <f>IF(COUNTIF(Wydatki[[#This Row],[Expenditure]],"*"&amp;"Parking"&amp;"*")=1,"Parking",IF(COUNTIF(Wydatki[[#This Row],[Expenditure]],"*"&amp;"Benzyna"&amp;"*")=1,"Benzyna","Inny wydatek"))</f>
        <v>Parking</v>
      </c>
      <c r="E32" s="25">
        <v>44284</v>
      </c>
      <c r="F32" s="26" t="s">
        <v>153</v>
      </c>
      <c r="G32" s="27" t="str">
        <f t="shared" si="0"/>
        <v/>
      </c>
      <c r="I32" s="10">
        <v>87</v>
      </c>
      <c r="J32" s="23">
        <v>189</v>
      </c>
      <c r="K32" s="23" t="s">
        <v>51</v>
      </c>
      <c r="L32" s="33">
        <v>44667</v>
      </c>
      <c r="M32" s="11">
        <v>6.28</v>
      </c>
      <c r="O32" s="28"/>
      <c r="P32" s="28" t="s">
        <v>129</v>
      </c>
      <c r="Q32" s="29"/>
      <c r="R32" s="28"/>
      <c r="S32" s="29"/>
      <c r="T32" s="28" t="b">
        <f>AND(ISERR(FIND("Benzyna",C9,1)),ISERR(FIND("Parking",C9,1)))</f>
        <v>1</v>
      </c>
    </row>
    <row r="33" spans="1:19" ht="15" customHeight="1" thickBot="1" x14ac:dyDescent="0.35">
      <c r="A33" s="6">
        <f>ROW(Wydatki[[#This Row],[Amount]])-8</f>
        <v>25</v>
      </c>
      <c r="B33" s="22">
        <v>7</v>
      </c>
      <c r="C33" s="23" t="s">
        <v>22</v>
      </c>
      <c r="D33" s="23" t="str">
        <f>IF(COUNTIF(Wydatki[[#This Row],[Expenditure]],"*"&amp;"Parking"&amp;"*")=1,"Parking",IF(COUNTIF(Wydatki[[#This Row],[Expenditure]],"*"&amp;"Benzyna"&amp;"*")=1,"Benzyna","Inny wydatek"))</f>
        <v>Parking</v>
      </c>
      <c r="E33" s="25">
        <v>44293</v>
      </c>
      <c r="F33" s="26" t="s">
        <v>152</v>
      </c>
      <c r="G33" s="27" t="str">
        <f t="shared" si="0"/>
        <v/>
      </c>
      <c r="I33" s="10">
        <v>90</v>
      </c>
      <c r="J33" s="28">
        <v>171</v>
      </c>
      <c r="K33" s="28" t="s">
        <v>59</v>
      </c>
      <c r="L33" s="30">
        <v>44702</v>
      </c>
      <c r="M33" s="11">
        <v>7.31</v>
      </c>
    </row>
    <row r="34" spans="1:19" ht="15" customHeight="1" x14ac:dyDescent="0.3">
      <c r="A34" s="6">
        <f>ROW(Wydatki[[#This Row],[Amount]])-8</f>
        <v>26</v>
      </c>
      <c r="B34" s="22">
        <v>4</v>
      </c>
      <c r="C34" s="23" t="s">
        <v>22</v>
      </c>
      <c r="D34" s="23" t="str">
        <f>IF(COUNTIF(Wydatki[[#This Row],[Expenditure]],"*"&amp;"Parking"&amp;"*")=1,"Parking",IF(COUNTIF(Wydatki[[#This Row],[Expenditure]],"*"&amp;"Benzyna"&amp;"*")=1,"Benzyna","Inny wydatek"))</f>
        <v>Parking</v>
      </c>
      <c r="E34" s="25">
        <v>44302</v>
      </c>
      <c r="F34" s="26" t="s">
        <v>152</v>
      </c>
      <c r="G34" s="27" t="str">
        <f t="shared" si="0"/>
        <v/>
      </c>
      <c r="I34" s="10">
        <v>92</v>
      </c>
      <c r="J34" s="28">
        <v>234</v>
      </c>
      <c r="K34" s="28" t="s">
        <v>60</v>
      </c>
      <c r="L34" s="30">
        <v>44747</v>
      </c>
      <c r="M34" s="11">
        <v>7.62</v>
      </c>
      <c r="O34" s="7" t="s">
        <v>172</v>
      </c>
      <c r="P34" s="8" t="s">
        <v>173</v>
      </c>
      <c r="Q34" s="8" t="s">
        <v>171</v>
      </c>
      <c r="R34" s="8" t="s">
        <v>0</v>
      </c>
      <c r="S34" s="9" t="s">
        <v>175</v>
      </c>
    </row>
    <row r="35" spans="1:19" ht="15" customHeight="1" x14ac:dyDescent="0.3">
      <c r="A35" s="6">
        <f>ROW(Wydatki[[#This Row],[Amount]])-8</f>
        <v>27</v>
      </c>
      <c r="B35" s="22">
        <v>7</v>
      </c>
      <c r="C35" s="23" t="s">
        <v>22</v>
      </c>
      <c r="D35" s="23" t="str">
        <f>IF(COUNTIF(Wydatki[[#This Row],[Expenditure]],"*"&amp;"Parking"&amp;"*")=1,"Parking",IF(COUNTIF(Wydatki[[#This Row],[Expenditure]],"*"&amp;"Benzyna"&amp;"*")=1,"Benzyna","Inny wydatek"))</f>
        <v>Parking</v>
      </c>
      <c r="E35" s="25">
        <v>44303</v>
      </c>
      <c r="F35" s="26" t="s">
        <v>152</v>
      </c>
      <c r="G35" s="27" t="str">
        <f t="shared" si="0"/>
        <v/>
      </c>
      <c r="I35" s="10">
        <v>94</v>
      </c>
      <c r="J35" s="28">
        <v>114</v>
      </c>
      <c r="K35" s="28" t="s">
        <v>61</v>
      </c>
      <c r="L35" s="30">
        <v>44792</v>
      </c>
      <c r="M35" s="11">
        <v>6.44</v>
      </c>
      <c r="O35" s="10">
        <v>3</v>
      </c>
      <c r="P35" s="28">
        <v>30</v>
      </c>
      <c r="Q35" s="28" t="s">
        <v>3</v>
      </c>
      <c r="R35" s="30">
        <v>44160</v>
      </c>
      <c r="S35" s="31"/>
    </row>
    <row r="36" spans="1:19" ht="15" customHeight="1" x14ac:dyDescent="0.3">
      <c r="A36" s="6">
        <f>ROW(Wydatki[[#This Row],[Amount]])-8</f>
        <v>28</v>
      </c>
      <c r="B36" s="22">
        <v>3</v>
      </c>
      <c r="C36" s="23" t="s">
        <v>22</v>
      </c>
      <c r="D36" s="23" t="str">
        <f>IF(COUNTIF(Wydatki[[#This Row],[Expenditure]],"*"&amp;"Parking"&amp;"*")=1,"Parking",IF(COUNTIF(Wydatki[[#This Row],[Expenditure]],"*"&amp;"Benzyna"&amp;"*")=1,"Benzyna","Inny wydatek"))</f>
        <v>Parking</v>
      </c>
      <c r="E36" s="25">
        <v>44306</v>
      </c>
      <c r="F36" s="26" t="s">
        <v>152</v>
      </c>
      <c r="G36" s="27" t="str">
        <f t="shared" si="0"/>
        <v/>
      </c>
      <c r="I36" s="10">
        <v>95</v>
      </c>
      <c r="J36" s="28">
        <v>151</v>
      </c>
      <c r="K36" s="28" t="s">
        <v>62</v>
      </c>
      <c r="L36" s="30">
        <v>44805</v>
      </c>
      <c r="M36" s="11">
        <v>6.48</v>
      </c>
      <c r="O36" s="10">
        <v>6</v>
      </c>
      <c r="P36" s="28">
        <v>60</v>
      </c>
      <c r="Q36" s="28" t="s">
        <v>6</v>
      </c>
      <c r="R36" s="30">
        <v>44161</v>
      </c>
      <c r="S36" s="31"/>
    </row>
    <row r="37" spans="1:19" ht="15" customHeight="1" x14ac:dyDescent="0.3">
      <c r="A37" s="6">
        <f>ROW(Wydatki[[#This Row],[Amount]])-8</f>
        <v>29</v>
      </c>
      <c r="B37" s="22">
        <v>8</v>
      </c>
      <c r="C37" s="23" t="s">
        <v>24</v>
      </c>
      <c r="D37" s="23" t="str">
        <f>IF(COUNTIF(Wydatki[[#This Row],[Expenditure]],"*"&amp;"Parking"&amp;"*")=1,"Parking",IF(COUNTIF(Wydatki[[#This Row],[Expenditure]],"*"&amp;"Benzyna"&amp;"*")=1,"Benzyna","Inny wydatek"))</f>
        <v>Parking</v>
      </c>
      <c r="E37" s="25">
        <v>44312</v>
      </c>
      <c r="F37" s="26" t="s">
        <v>152</v>
      </c>
      <c r="G37" s="27" t="str">
        <f t="shared" si="0"/>
        <v/>
      </c>
      <c r="I37" s="10">
        <v>99</v>
      </c>
      <c r="J37" s="23">
        <v>194</v>
      </c>
      <c r="K37" s="23" t="s">
        <v>29</v>
      </c>
      <c r="L37" s="33">
        <v>44829</v>
      </c>
      <c r="M37" s="11">
        <v>6.24</v>
      </c>
      <c r="O37" s="10">
        <v>8</v>
      </c>
      <c r="P37" s="28">
        <v>79</v>
      </c>
      <c r="Q37" s="28" t="s">
        <v>8</v>
      </c>
      <c r="R37" s="30">
        <v>44168</v>
      </c>
      <c r="S37" s="31"/>
    </row>
    <row r="38" spans="1:19" ht="15" customHeight="1" x14ac:dyDescent="0.3">
      <c r="A38" s="6">
        <f>ROW(Wydatki[[#This Row],[Amount]])-8</f>
        <v>30</v>
      </c>
      <c r="B38" s="22">
        <v>137</v>
      </c>
      <c r="C38" s="23" t="s">
        <v>25</v>
      </c>
      <c r="D38" s="23" t="str">
        <f>IF(COUNTIF(Wydatki[[#This Row],[Expenditure]],"*"&amp;"Parking"&amp;"*")=1,"Parking",IF(COUNTIF(Wydatki[[#This Row],[Expenditure]],"*"&amp;"Benzyna"&amp;"*")=1,"Benzyna","Inny wydatek"))</f>
        <v>Benzyna</v>
      </c>
      <c r="E38" s="25">
        <v>44320</v>
      </c>
      <c r="F38" s="26" t="s">
        <v>152</v>
      </c>
      <c r="G38" s="27">
        <f t="shared" si="0"/>
        <v>5.4365079365079367</v>
      </c>
      <c r="I38" s="10">
        <v>101</v>
      </c>
      <c r="J38" s="28">
        <v>111</v>
      </c>
      <c r="K38" s="28" t="s">
        <v>66</v>
      </c>
      <c r="L38" s="30">
        <v>44852</v>
      </c>
      <c r="M38" s="11">
        <v>6.81</v>
      </c>
      <c r="O38" s="10">
        <v>12</v>
      </c>
      <c r="P38" s="28">
        <v>45</v>
      </c>
      <c r="Q38" s="28" t="s">
        <v>12</v>
      </c>
      <c r="R38" s="30">
        <v>44171</v>
      </c>
      <c r="S38" s="31"/>
    </row>
    <row r="39" spans="1:19" ht="15" customHeight="1" x14ac:dyDescent="0.3">
      <c r="A39" s="6">
        <f>ROW(Wydatki[[#This Row],[Amount]])-8</f>
        <v>31</v>
      </c>
      <c r="B39" s="22">
        <v>60</v>
      </c>
      <c r="C39" s="23" t="s">
        <v>26</v>
      </c>
      <c r="D39" s="23" t="str">
        <f>IF(COUNTIF(Wydatki[[#This Row],[Expenditure]],"*"&amp;"Parking"&amp;"*")=1,"Parking",IF(COUNTIF(Wydatki[[#This Row],[Expenditure]],"*"&amp;"Benzyna"&amp;"*")=1,"Benzyna","Inny wydatek"))</f>
        <v>Inny wydatek</v>
      </c>
      <c r="E39" s="25">
        <v>44320</v>
      </c>
      <c r="F39" s="26" t="s">
        <v>153</v>
      </c>
      <c r="G39" s="27" t="str">
        <f t="shared" si="0"/>
        <v/>
      </c>
      <c r="I39" s="10">
        <v>104</v>
      </c>
      <c r="J39" s="28">
        <v>198</v>
      </c>
      <c r="K39" s="28" t="s">
        <v>67</v>
      </c>
      <c r="L39" s="30">
        <v>44866</v>
      </c>
      <c r="M39" s="11">
        <v>6.47</v>
      </c>
      <c r="O39" s="10">
        <v>13</v>
      </c>
      <c r="P39" s="28">
        <v>69</v>
      </c>
      <c r="Q39" s="28" t="s">
        <v>13</v>
      </c>
      <c r="R39" s="30">
        <v>44173</v>
      </c>
      <c r="S39" s="31"/>
    </row>
    <row r="40" spans="1:19" ht="15" customHeight="1" x14ac:dyDescent="0.3">
      <c r="A40" s="6">
        <f>ROW(Wydatki[[#This Row],[Amount]])-8</f>
        <v>32</v>
      </c>
      <c r="B40" s="22">
        <v>100</v>
      </c>
      <c r="C40" s="23" t="s">
        <v>27</v>
      </c>
      <c r="D40" s="23" t="str">
        <f>IF(COUNTIF(Wydatki[[#This Row],[Expenditure]],"*"&amp;"Parking"&amp;"*")=1,"Parking",IF(COUNTIF(Wydatki[[#This Row],[Expenditure]],"*"&amp;"Benzyna"&amp;"*")=1,"Benzyna","Inny wydatek"))</f>
        <v>Inny wydatek</v>
      </c>
      <c r="E40" s="25">
        <v>44320</v>
      </c>
      <c r="F40" s="26" t="s">
        <v>152</v>
      </c>
      <c r="G40" s="27" t="str">
        <f t="shared" si="0"/>
        <v/>
      </c>
      <c r="I40" s="10">
        <v>107</v>
      </c>
      <c r="J40" s="28">
        <v>180</v>
      </c>
      <c r="K40" s="28" t="s">
        <v>20</v>
      </c>
      <c r="L40" s="30">
        <v>44878</v>
      </c>
      <c r="M40" s="11">
        <v>6.52</v>
      </c>
      <c r="O40" s="10">
        <v>14</v>
      </c>
      <c r="P40" s="28">
        <v>15</v>
      </c>
      <c r="Q40" s="28" t="s">
        <v>14</v>
      </c>
      <c r="R40" s="30">
        <v>44186</v>
      </c>
      <c r="S40" s="31"/>
    </row>
    <row r="41" spans="1:19" ht="15" customHeight="1" x14ac:dyDescent="0.3">
      <c r="A41" s="6">
        <f>ROW(Wydatki[[#This Row],[Amount]])-8</f>
        <v>33</v>
      </c>
      <c r="B41" s="22">
        <v>5</v>
      </c>
      <c r="C41" s="23" t="s">
        <v>24</v>
      </c>
      <c r="D41" s="23" t="str">
        <f>IF(COUNTIF(Wydatki[[#This Row],[Expenditure]],"*"&amp;"Parking"&amp;"*")=1,"Parking",IF(COUNTIF(Wydatki[[#This Row],[Expenditure]],"*"&amp;"Benzyna"&amp;"*")=1,"Benzyna","Inny wydatek"))</f>
        <v>Parking</v>
      </c>
      <c r="E41" s="25">
        <v>44331</v>
      </c>
      <c r="F41" s="26" t="s">
        <v>152</v>
      </c>
      <c r="G41" s="27" t="str">
        <f t="shared" si="0"/>
        <v/>
      </c>
      <c r="I41" s="10">
        <v>111</v>
      </c>
      <c r="J41" s="28">
        <v>134</v>
      </c>
      <c r="K41" s="28" t="s">
        <v>69</v>
      </c>
      <c r="L41" s="30">
        <v>44911</v>
      </c>
      <c r="M41" s="11">
        <v>6.44</v>
      </c>
      <c r="O41" s="10">
        <v>21</v>
      </c>
      <c r="P41" s="28">
        <v>15</v>
      </c>
      <c r="Q41" s="28" t="s">
        <v>21</v>
      </c>
      <c r="R41" s="30">
        <v>44255</v>
      </c>
      <c r="S41" s="31"/>
    </row>
    <row r="42" spans="1:19" ht="15" customHeight="1" x14ac:dyDescent="0.3">
      <c r="A42" s="6">
        <f>ROW(Wydatki[[#This Row],[Amount]])-8</f>
        <v>34</v>
      </c>
      <c r="B42" s="22">
        <v>164</v>
      </c>
      <c r="C42" s="23" t="s">
        <v>28</v>
      </c>
      <c r="D42" s="23" t="str">
        <f>IF(COUNTIF(Wydatki[[#This Row],[Expenditure]],"*"&amp;"Parking"&amp;"*")=1,"Parking",IF(COUNTIF(Wydatki[[#This Row],[Expenditure]],"*"&amp;"Benzyna"&amp;"*")=1,"Benzyna","Inny wydatek"))</f>
        <v>Benzyna</v>
      </c>
      <c r="E42" s="25">
        <v>44340</v>
      </c>
      <c r="F42" s="26" t="s">
        <v>152</v>
      </c>
      <c r="G42" s="27">
        <f t="shared" si="0"/>
        <v>4.9848024316109427</v>
      </c>
      <c r="I42" s="10">
        <v>113</v>
      </c>
      <c r="J42" s="28">
        <v>127</v>
      </c>
      <c r="K42" s="28" t="s">
        <v>70</v>
      </c>
      <c r="L42" s="30">
        <v>44922</v>
      </c>
      <c r="M42" s="11">
        <v>6.51</v>
      </c>
      <c r="O42" s="10">
        <v>31</v>
      </c>
      <c r="P42" s="28">
        <v>60</v>
      </c>
      <c r="Q42" s="28" t="s">
        <v>26</v>
      </c>
      <c r="R42" s="30">
        <v>44320</v>
      </c>
      <c r="S42" s="31"/>
    </row>
    <row r="43" spans="1:19" ht="15" customHeight="1" x14ac:dyDescent="0.3">
      <c r="A43" s="6">
        <f>ROW(Wydatki[[#This Row],[Amount]])-8</f>
        <v>35</v>
      </c>
      <c r="B43" s="22">
        <v>7</v>
      </c>
      <c r="C43" s="23" t="s">
        <v>22</v>
      </c>
      <c r="D43" s="23" t="str">
        <f>IF(COUNTIF(Wydatki[[#This Row],[Expenditure]],"*"&amp;"Parking"&amp;"*")=1,"Parking",IF(COUNTIF(Wydatki[[#This Row],[Expenditure]],"*"&amp;"Benzyna"&amp;"*")=1,"Benzyna","Inny wydatek"))</f>
        <v>Parking</v>
      </c>
      <c r="E43" s="25">
        <v>44348</v>
      </c>
      <c r="F43" s="26" t="s">
        <v>152</v>
      </c>
      <c r="G43" s="27" t="str">
        <f t="shared" si="0"/>
        <v/>
      </c>
      <c r="I43" s="10">
        <v>118</v>
      </c>
      <c r="J43" s="28">
        <v>196</v>
      </c>
      <c r="K43" s="28" t="s">
        <v>71</v>
      </c>
      <c r="L43" s="30">
        <v>44949</v>
      </c>
      <c r="M43" s="11">
        <v>6.45</v>
      </c>
      <c r="O43" s="10">
        <v>55</v>
      </c>
      <c r="P43" s="28">
        <v>19</v>
      </c>
      <c r="Q43" s="28" t="s">
        <v>14</v>
      </c>
      <c r="R43" s="30">
        <v>44522</v>
      </c>
      <c r="S43" s="31"/>
    </row>
    <row r="44" spans="1:19" ht="15" customHeight="1" x14ac:dyDescent="0.3">
      <c r="A44" s="6">
        <f>ROW(Wydatki[[#This Row],[Amount]])-8</f>
        <v>36</v>
      </c>
      <c r="B44" s="22">
        <v>7</v>
      </c>
      <c r="C44" s="23" t="s">
        <v>22</v>
      </c>
      <c r="D44" s="23" t="str">
        <f>IF(COUNTIF(Wydatki[[#This Row],[Expenditure]],"*"&amp;"Parking"&amp;"*")=1,"Parking",IF(COUNTIF(Wydatki[[#This Row],[Expenditure]],"*"&amp;"Benzyna"&amp;"*")=1,"Benzyna","Inny wydatek"))</f>
        <v>Parking</v>
      </c>
      <c r="E44" s="25">
        <v>44352</v>
      </c>
      <c r="F44" s="26" t="s">
        <v>152</v>
      </c>
      <c r="G44" s="27" t="str">
        <f t="shared" si="0"/>
        <v/>
      </c>
      <c r="I44" s="10">
        <v>120</v>
      </c>
      <c r="J44" s="28">
        <v>199</v>
      </c>
      <c r="K44" s="28" t="s">
        <v>72</v>
      </c>
      <c r="L44" s="30">
        <v>44975</v>
      </c>
      <c r="M44" s="11">
        <v>6.63</v>
      </c>
      <c r="O44" s="10">
        <v>57</v>
      </c>
      <c r="P44" s="28">
        <v>6</v>
      </c>
      <c r="Q44" s="28" t="s">
        <v>37</v>
      </c>
      <c r="R44" s="30">
        <v>44527</v>
      </c>
      <c r="S44" s="31"/>
    </row>
    <row r="45" spans="1:19" ht="15" customHeight="1" x14ac:dyDescent="0.3">
      <c r="A45" s="6">
        <f>ROW(Wydatki[[#This Row],[Amount]])-8</f>
        <v>37</v>
      </c>
      <c r="B45" s="22">
        <v>7</v>
      </c>
      <c r="C45" s="23" t="s">
        <v>22</v>
      </c>
      <c r="D45" s="23" t="str">
        <f>IF(COUNTIF(Wydatki[[#This Row],[Expenditure]],"*"&amp;"Parking"&amp;"*")=1,"Parking",IF(COUNTIF(Wydatki[[#This Row],[Expenditure]],"*"&amp;"Benzyna"&amp;"*")=1,"Benzyna","Inny wydatek"))</f>
        <v>Parking</v>
      </c>
      <c r="E45" s="25">
        <v>44357</v>
      </c>
      <c r="F45" s="26" t="s">
        <v>152</v>
      </c>
      <c r="G45" s="27" t="str">
        <f t="shared" si="0"/>
        <v/>
      </c>
      <c r="I45" s="10">
        <v>123</v>
      </c>
      <c r="J45" s="28">
        <v>145</v>
      </c>
      <c r="K45" s="28" t="s">
        <v>73</v>
      </c>
      <c r="L45" s="30">
        <v>44999</v>
      </c>
      <c r="M45" s="11">
        <v>6.65</v>
      </c>
      <c r="O45" s="10">
        <v>58</v>
      </c>
      <c r="P45" s="28">
        <v>14</v>
      </c>
      <c r="Q45" s="28" t="s">
        <v>38</v>
      </c>
      <c r="R45" s="30">
        <v>44527</v>
      </c>
      <c r="S45" s="31"/>
    </row>
    <row r="46" spans="1:19" ht="15" customHeight="1" x14ac:dyDescent="0.3">
      <c r="A46" s="6">
        <f>ROW(Wydatki[[#This Row],[Amount]])-8</f>
        <v>38</v>
      </c>
      <c r="B46" s="22">
        <v>14</v>
      </c>
      <c r="C46" s="23" t="s">
        <v>24</v>
      </c>
      <c r="D46" s="23" t="str">
        <f>IF(COUNTIF(Wydatki[[#This Row],[Expenditure]],"*"&amp;"Parking"&amp;"*")=1,"Parking",IF(COUNTIF(Wydatki[[#This Row],[Expenditure]],"*"&amp;"Benzyna"&amp;"*")=1,"Benzyna","Inny wydatek"))</f>
        <v>Parking</v>
      </c>
      <c r="E46" s="25">
        <v>44363</v>
      </c>
      <c r="F46" s="26" t="s">
        <v>152</v>
      </c>
      <c r="G46" s="27" t="str">
        <f t="shared" si="0"/>
        <v/>
      </c>
      <c r="I46" s="10">
        <v>124</v>
      </c>
      <c r="J46" s="28">
        <v>139</v>
      </c>
      <c r="K46" s="28" t="s">
        <v>74</v>
      </c>
      <c r="L46" s="30">
        <v>45010</v>
      </c>
      <c r="M46" s="11">
        <v>6.65</v>
      </c>
      <c r="O46" s="10">
        <v>59</v>
      </c>
      <c r="P46" s="28">
        <v>13</v>
      </c>
      <c r="Q46" s="28" t="s">
        <v>39</v>
      </c>
      <c r="R46" s="30">
        <v>44527</v>
      </c>
      <c r="S46" s="31"/>
    </row>
    <row r="47" spans="1:19" ht="15" customHeight="1" x14ac:dyDescent="0.3">
      <c r="A47" s="6">
        <f>ROW(Wydatki[[#This Row],[Amount]])-8</f>
        <v>39</v>
      </c>
      <c r="B47" s="22">
        <v>7</v>
      </c>
      <c r="C47" s="23" t="s">
        <v>22</v>
      </c>
      <c r="D47" s="23" t="str">
        <f>IF(COUNTIF(Wydatki[[#This Row],[Expenditure]],"*"&amp;"Parking"&amp;"*")=1,"Parking",IF(COUNTIF(Wydatki[[#This Row],[Expenditure]],"*"&amp;"Benzyna"&amp;"*")=1,"Benzyna","Inny wydatek"))</f>
        <v>Parking</v>
      </c>
      <c r="E47" s="25">
        <v>44364</v>
      </c>
      <c r="F47" s="26" t="s">
        <v>152</v>
      </c>
      <c r="G47" s="27" t="str">
        <f t="shared" si="0"/>
        <v/>
      </c>
      <c r="I47" s="10">
        <v>126</v>
      </c>
      <c r="J47" s="28">
        <v>154</v>
      </c>
      <c r="K47" s="28" t="s">
        <v>32</v>
      </c>
      <c r="L47" s="30">
        <v>45023</v>
      </c>
      <c r="M47" s="11">
        <v>6.72</v>
      </c>
      <c r="O47" s="10">
        <v>60</v>
      </c>
      <c r="P47" s="28">
        <v>13</v>
      </c>
      <c r="Q47" s="28" t="s">
        <v>40</v>
      </c>
      <c r="R47" s="30">
        <v>44527</v>
      </c>
      <c r="S47" s="31"/>
    </row>
    <row r="48" spans="1:19" ht="15" customHeight="1" x14ac:dyDescent="0.3">
      <c r="A48" s="6">
        <f>ROW(Wydatki[[#This Row],[Amount]])-8</f>
        <v>40</v>
      </c>
      <c r="B48" s="22">
        <v>7</v>
      </c>
      <c r="C48" s="23" t="s">
        <v>22</v>
      </c>
      <c r="D48" s="23" t="str">
        <f>IF(COUNTIF(Wydatki[[#This Row],[Expenditure]],"*"&amp;"Parking"&amp;"*")=1,"Parking",IF(COUNTIF(Wydatki[[#This Row],[Expenditure]],"*"&amp;"Benzyna"&amp;"*")=1,"Benzyna","Inny wydatek"))</f>
        <v>Parking</v>
      </c>
      <c r="E48" s="25">
        <v>44372</v>
      </c>
      <c r="F48" s="26" t="s">
        <v>152</v>
      </c>
      <c r="G48" s="27" t="str">
        <f t="shared" si="0"/>
        <v/>
      </c>
      <c r="I48" s="10">
        <v>128</v>
      </c>
      <c r="J48" s="28">
        <v>145</v>
      </c>
      <c r="K48" s="28" t="s">
        <v>73</v>
      </c>
      <c r="L48" s="30">
        <v>45030</v>
      </c>
      <c r="M48" s="11">
        <v>6.65</v>
      </c>
      <c r="O48" s="10">
        <v>63</v>
      </c>
      <c r="P48" s="28">
        <v>25</v>
      </c>
      <c r="Q48" s="28" t="s">
        <v>42</v>
      </c>
      <c r="R48" s="30">
        <v>44532</v>
      </c>
      <c r="S48" s="31"/>
    </row>
    <row r="49" spans="1:19" ht="15" customHeight="1" x14ac:dyDescent="0.3">
      <c r="A49" s="6">
        <f>ROW(Wydatki[[#This Row],[Amount]])-8</f>
        <v>41</v>
      </c>
      <c r="B49" s="22">
        <v>176</v>
      </c>
      <c r="C49" s="23" t="s">
        <v>29</v>
      </c>
      <c r="D49" s="23" t="str">
        <f>IF(COUNTIF(Wydatki[[#This Row],[Expenditure]],"*"&amp;"Parking"&amp;"*")=1,"Parking",IF(COUNTIF(Wydatki[[#This Row],[Expenditure]],"*"&amp;"Benzyna"&amp;"*")=1,"Benzyna","Inny wydatek"))</f>
        <v>Benzyna</v>
      </c>
      <c r="E49" s="25">
        <v>44379</v>
      </c>
      <c r="F49" s="26" t="s">
        <v>152</v>
      </c>
      <c r="G49" s="27">
        <f t="shared" si="0"/>
        <v>5.6591639871382631</v>
      </c>
      <c r="I49" s="10">
        <v>132</v>
      </c>
      <c r="J49" s="28">
        <v>210</v>
      </c>
      <c r="K49" s="28" t="s">
        <v>78</v>
      </c>
      <c r="L49" s="30">
        <v>45046</v>
      </c>
      <c r="M49" s="11">
        <v>6.62</v>
      </c>
      <c r="O49" s="10">
        <v>64</v>
      </c>
      <c r="P49" s="28">
        <v>28</v>
      </c>
      <c r="Q49" s="28" t="s">
        <v>43</v>
      </c>
      <c r="R49" s="30">
        <v>44532</v>
      </c>
      <c r="S49" s="31"/>
    </row>
    <row r="50" spans="1:19" ht="15" customHeight="1" x14ac:dyDescent="0.3">
      <c r="A50" s="6">
        <f>ROW(Wydatki[[#This Row],[Amount]])-8</f>
        <v>42</v>
      </c>
      <c r="B50" s="22">
        <v>3</v>
      </c>
      <c r="C50" s="23" t="s">
        <v>22</v>
      </c>
      <c r="D50" s="23" t="str">
        <f>IF(COUNTIF(Wydatki[[#This Row],[Expenditure]],"*"&amp;"Parking"&amp;"*")=1,"Parking",IF(COUNTIF(Wydatki[[#This Row],[Expenditure]],"*"&amp;"Benzyna"&amp;"*")=1,"Benzyna","Inny wydatek"))</f>
        <v>Parking</v>
      </c>
      <c r="E50" s="25">
        <v>44390</v>
      </c>
      <c r="F50" s="26" t="s">
        <v>152</v>
      </c>
      <c r="G50" s="27" t="str">
        <f t="shared" si="0"/>
        <v/>
      </c>
      <c r="I50" s="10">
        <v>133</v>
      </c>
      <c r="J50" s="28">
        <v>123</v>
      </c>
      <c r="K50" s="28" t="s">
        <v>79</v>
      </c>
      <c r="L50" s="30">
        <v>45052</v>
      </c>
      <c r="M50" s="11">
        <v>6.41</v>
      </c>
      <c r="O50" s="10">
        <v>65</v>
      </c>
      <c r="P50" s="28">
        <v>39</v>
      </c>
      <c r="Q50" s="28" t="s">
        <v>44</v>
      </c>
      <c r="R50" s="30">
        <v>44532</v>
      </c>
      <c r="S50" s="31"/>
    </row>
    <row r="51" spans="1:19" ht="15" customHeight="1" x14ac:dyDescent="0.3">
      <c r="A51" s="6">
        <f>ROW(Wydatki[[#This Row],[Amount]])-8</f>
        <v>43</v>
      </c>
      <c r="B51" s="22">
        <v>149</v>
      </c>
      <c r="C51" s="23" t="s">
        <v>30</v>
      </c>
      <c r="D51" s="23" t="str">
        <f>IF(COUNTIF(Wydatki[[#This Row],[Expenditure]],"*"&amp;"Parking"&amp;"*")=1,"Parking",IF(COUNTIF(Wydatki[[#This Row],[Expenditure]],"*"&amp;"Benzyna"&amp;"*")=1,"Benzyna","Inny wydatek"))</f>
        <v>Benzyna</v>
      </c>
      <c r="E51" s="25">
        <v>44401</v>
      </c>
      <c r="F51" s="26" t="s">
        <v>152</v>
      </c>
      <c r="G51" s="27">
        <f t="shared" si="0"/>
        <v>5.4981549815498152</v>
      </c>
      <c r="I51" s="10">
        <v>134</v>
      </c>
      <c r="J51" s="28">
        <v>189</v>
      </c>
      <c r="K51" s="28" t="s">
        <v>80</v>
      </c>
      <c r="L51" s="30">
        <v>45066</v>
      </c>
      <c r="M51" s="11">
        <v>6.34</v>
      </c>
      <c r="O51" s="10">
        <v>67</v>
      </c>
      <c r="P51" s="28">
        <v>50</v>
      </c>
      <c r="Q51" s="28" t="s">
        <v>46</v>
      </c>
      <c r="R51" s="30">
        <v>44532</v>
      </c>
      <c r="S51" s="31"/>
    </row>
    <row r="52" spans="1:19" ht="15" customHeight="1" x14ac:dyDescent="0.3">
      <c r="A52" s="6">
        <f>ROW(Wydatki[[#This Row],[Amount]])-8</f>
        <v>44</v>
      </c>
      <c r="B52" s="22">
        <v>180</v>
      </c>
      <c r="C52" s="23" t="s">
        <v>31</v>
      </c>
      <c r="D52" s="23" t="str">
        <f>IF(COUNTIF(Wydatki[[#This Row],[Expenditure]],"*"&amp;"Parking"&amp;"*")=1,"Parking",IF(COUNTIF(Wydatki[[#This Row],[Expenditure]],"*"&amp;"Benzyna"&amp;"*")=1,"Benzyna","Inny wydatek"))</f>
        <v>Parking</v>
      </c>
      <c r="E52" s="25">
        <v>44426</v>
      </c>
      <c r="F52" s="26" t="s">
        <v>152</v>
      </c>
      <c r="G52" s="27" t="str">
        <f t="shared" si="0"/>
        <v/>
      </c>
      <c r="I52" s="10">
        <v>136</v>
      </c>
      <c r="J52" s="28">
        <v>198</v>
      </c>
      <c r="K52" s="28" t="s">
        <v>82</v>
      </c>
      <c r="L52" s="30">
        <v>45075</v>
      </c>
      <c r="M52" s="11">
        <v>6.43</v>
      </c>
      <c r="O52" s="10">
        <v>68</v>
      </c>
      <c r="P52" s="28">
        <v>65</v>
      </c>
      <c r="Q52" s="28" t="s">
        <v>47</v>
      </c>
      <c r="R52" s="30">
        <v>44532</v>
      </c>
      <c r="S52" s="31"/>
    </row>
    <row r="53" spans="1:19" ht="15" customHeight="1" x14ac:dyDescent="0.3">
      <c r="A53" s="6">
        <f>ROW(Wydatki[[#This Row],[Amount]])-8</f>
        <v>45</v>
      </c>
      <c r="B53" s="22">
        <v>15</v>
      </c>
      <c r="C53" s="23" t="s">
        <v>24</v>
      </c>
      <c r="D53" s="23" t="str">
        <f>IF(COUNTIF(Wydatki[[#This Row],[Expenditure]],"*"&amp;"Parking"&amp;"*")=1,"Parking",IF(COUNTIF(Wydatki[[#This Row],[Expenditure]],"*"&amp;"Benzyna"&amp;"*")=1,"Benzyna","Inny wydatek"))</f>
        <v>Parking</v>
      </c>
      <c r="E53" s="25">
        <v>44431</v>
      </c>
      <c r="F53" s="26" t="s">
        <v>153</v>
      </c>
      <c r="G53" s="27" t="str">
        <f t="shared" si="0"/>
        <v/>
      </c>
      <c r="I53" s="10">
        <v>138</v>
      </c>
      <c r="J53" s="28">
        <v>183</v>
      </c>
      <c r="K53" s="28" t="s">
        <v>83</v>
      </c>
      <c r="L53" s="30">
        <v>45108</v>
      </c>
      <c r="M53" s="11">
        <v>6.31</v>
      </c>
      <c r="O53" s="10">
        <v>72</v>
      </c>
      <c r="P53" s="28">
        <v>8</v>
      </c>
      <c r="Q53" s="28" t="s">
        <v>48</v>
      </c>
      <c r="R53" s="30">
        <v>44554</v>
      </c>
      <c r="S53" s="31"/>
    </row>
    <row r="54" spans="1:19" ht="15" customHeight="1" x14ac:dyDescent="0.3">
      <c r="A54" s="6">
        <f>ROW(Wydatki[[#This Row],[Amount]])-8</f>
        <v>46</v>
      </c>
      <c r="B54" s="22">
        <v>129</v>
      </c>
      <c r="C54" s="23" t="s">
        <v>32</v>
      </c>
      <c r="D54" s="23" t="str">
        <f>IF(COUNTIF(Wydatki[[#This Row],[Expenditure]],"*"&amp;"Parking"&amp;"*")=1,"Parking",IF(COUNTIF(Wydatki[[#This Row],[Expenditure]],"*"&amp;"Benzyna"&amp;"*")=1,"Benzyna","Inny wydatek"))</f>
        <v>Benzyna</v>
      </c>
      <c r="E54" s="25">
        <v>44435</v>
      </c>
      <c r="F54" s="26" t="s">
        <v>153</v>
      </c>
      <c r="G54" s="27">
        <f t="shared" si="0"/>
        <v>5.6331877729257647</v>
      </c>
      <c r="I54" s="10">
        <v>140</v>
      </c>
      <c r="J54" s="28">
        <v>200</v>
      </c>
      <c r="K54" s="28" t="s">
        <v>84</v>
      </c>
      <c r="L54" s="30">
        <v>45125</v>
      </c>
      <c r="M54" s="11">
        <v>6.33</v>
      </c>
      <c r="O54" s="10">
        <v>81</v>
      </c>
      <c r="P54" s="28">
        <v>8</v>
      </c>
      <c r="Q54" s="28" t="s">
        <v>54</v>
      </c>
      <c r="R54" s="30">
        <v>44628</v>
      </c>
      <c r="S54" s="31"/>
    </row>
    <row r="55" spans="1:19" ht="15" customHeight="1" x14ac:dyDescent="0.3">
      <c r="A55" s="6">
        <f>ROW(Wydatki[[#This Row],[Amount]])-8</f>
        <v>47</v>
      </c>
      <c r="B55" s="22">
        <v>650</v>
      </c>
      <c r="C55" s="23" t="s">
        <v>33</v>
      </c>
      <c r="D55" s="23" t="str">
        <f>IF(COUNTIF(Wydatki[[#This Row],[Expenditure]],"*"&amp;"Parking"&amp;"*")=1,"Parking",IF(COUNTIF(Wydatki[[#This Row],[Expenditure]],"*"&amp;"Benzyna"&amp;"*")=1,"Benzyna","Inny wydatek"))</f>
        <v>Inny wydatek</v>
      </c>
      <c r="E55" s="25">
        <v>44464</v>
      </c>
      <c r="F55" s="26" t="s">
        <v>152</v>
      </c>
      <c r="G55" s="27" t="str">
        <f t="shared" si="0"/>
        <v/>
      </c>
      <c r="I55" s="10">
        <v>141</v>
      </c>
      <c r="J55" s="28">
        <v>149</v>
      </c>
      <c r="K55" s="28" t="s">
        <v>85</v>
      </c>
      <c r="L55" s="30">
        <v>45139</v>
      </c>
      <c r="M55" s="11">
        <v>6.45</v>
      </c>
      <c r="O55" s="10">
        <v>83</v>
      </c>
      <c r="P55" s="28">
        <v>20</v>
      </c>
      <c r="Q55" s="28" t="s">
        <v>3</v>
      </c>
      <c r="R55" s="30">
        <v>44628</v>
      </c>
      <c r="S55" s="31"/>
    </row>
    <row r="56" spans="1:19" ht="15" customHeight="1" x14ac:dyDescent="0.3">
      <c r="A56" s="6">
        <f>ROW(Wydatki[[#This Row],[Amount]])-8</f>
        <v>48</v>
      </c>
      <c r="B56" s="22">
        <v>153</v>
      </c>
      <c r="C56" s="23" t="s">
        <v>34</v>
      </c>
      <c r="D56" s="23" t="str">
        <f>IF(COUNTIF(Wydatki[[#This Row],[Expenditure]],"*"&amp;"Parking"&amp;"*")=1,"Parking",IF(COUNTIF(Wydatki[[#This Row],[Expenditure]],"*"&amp;"Benzyna"&amp;"*")=1,"Benzyna","Inny wydatek"))</f>
        <v>Benzyna</v>
      </c>
      <c r="E56" s="25">
        <v>44468</v>
      </c>
      <c r="F56" s="26" t="s">
        <v>152</v>
      </c>
      <c r="G56" s="27">
        <f t="shared" si="0"/>
        <v>5.8174904942965782</v>
      </c>
      <c r="I56" s="10">
        <v>144</v>
      </c>
      <c r="J56" s="28">
        <v>123</v>
      </c>
      <c r="K56" s="28" t="s">
        <v>88</v>
      </c>
      <c r="L56" s="30">
        <v>45150</v>
      </c>
      <c r="M56" s="11">
        <v>6.58</v>
      </c>
      <c r="O56" s="10">
        <v>88</v>
      </c>
      <c r="P56" s="28">
        <v>99</v>
      </c>
      <c r="Q56" s="28" t="s">
        <v>27</v>
      </c>
      <c r="R56" s="30">
        <v>44683</v>
      </c>
      <c r="S56" s="31"/>
    </row>
    <row r="57" spans="1:19" ht="15" customHeight="1" x14ac:dyDescent="0.3">
      <c r="A57" s="6">
        <f>ROW(Wydatki[[#This Row],[Amount]])-8</f>
        <v>49</v>
      </c>
      <c r="B57" s="22">
        <v>3</v>
      </c>
      <c r="C57" s="23" t="s">
        <v>22</v>
      </c>
      <c r="D57" s="23" t="str">
        <f>IF(COUNTIF(Wydatki[[#This Row],[Expenditure]],"*"&amp;"Parking"&amp;"*")=1,"Parking",IF(COUNTIF(Wydatki[[#This Row],[Expenditure]],"*"&amp;"Benzyna"&amp;"*")=1,"Benzyna","Inny wydatek"))</f>
        <v>Parking</v>
      </c>
      <c r="E57" s="25">
        <v>44475</v>
      </c>
      <c r="F57" s="26" t="s">
        <v>152</v>
      </c>
      <c r="G57" s="27" t="str">
        <f t="shared" si="0"/>
        <v/>
      </c>
      <c r="I57" s="10">
        <v>147</v>
      </c>
      <c r="J57" s="28">
        <v>97</v>
      </c>
      <c r="K57" s="28" t="s">
        <v>91</v>
      </c>
      <c r="L57" s="30">
        <v>45164</v>
      </c>
      <c r="M57" s="11">
        <v>6.47</v>
      </c>
      <c r="O57" s="10">
        <v>105</v>
      </c>
      <c r="P57" s="28">
        <v>60</v>
      </c>
      <c r="Q57" s="28" t="s">
        <v>68</v>
      </c>
      <c r="R57" s="30">
        <v>44870</v>
      </c>
      <c r="S57" s="31"/>
    </row>
    <row r="58" spans="1:19" ht="15" customHeight="1" x14ac:dyDescent="0.3">
      <c r="A58" s="6">
        <f>ROW(Wydatki[[#This Row],[Amount]])-8</f>
        <v>50</v>
      </c>
      <c r="B58" s="22">
        <v>5</v>
      </c>
      <c r="C58" s="23" t="s">
        <v>22</v>
      </c>
      <c r="D58" s="23" t="str">
        <f>IF(COUNTIF(Wydatki[[#This Row],[Expenditure]],"*"&amp;"Parking"&amp;"*")=1,"Parking",IF(COUNTIF(Wydatki[[#This Row],[Expenditure]],"*"&amp;"Benzyna"&amp;"*")=1,"Benzyna","Inny wydatek"))</f>
        <v>Parking</v>
      </c>
      <c r="E58" s="25">
        <v>44477</v>
      </c>
      <c r="F58" s="26" t="s">
        <v>152</v>
      </c>
      <c r="G58" s="27" t="str">
        <f t="shared" si="0"/>
        <v/>
      </c>
      <c r="I58" s="10">
        <v>148</v>
      </c>
      <c r="J58" s="28">
        <v>123</v>
      </c>
      <c r="K58" s="28" t="s">
        <v>88</v>
      </c>
      <c r="L58" s="30">
        <v>45170</v>
      </c>
      <c r="M58" s="11">
        <v>6.58</v>
      </c>
      <c r="O58" s="10">
        <v>127</v>
      </c>
      <c r="P58" s="28">
        <v>64</v>
      </c>
      <c r="Q58" s="28" t="s">
        <v>76</v>
      </c>
      <c r="R58" s="30">
        <v>45026</v>
      </c>
      <c r="S58" s="31"/>
    </row>
    <row r="59" spans="1:19" ht="15" customHeight="1" x14ac:dyDescent="0.3">
      <c r="A59" s="6">
        <f>ROW(Wydatki[[#This Row],[Amount]])-8</f>
        <v>51</v>
      </c>
      <c r="B59" s="22">
        <v>5</v>
      </c>
      <c r="C59" s="23" t="s">
        <v>22</v>
      </c>
      <c r="D59" s="23" t="str">
        <f>IF(COUNTIF(Wydatki[[#This Row],[Expenditure]],"*"&amp;"Parking"&amp;"*")=1,"Parking",IF(COUNTIF(Wydatki[[#This Row],[Expenditure]],"*"&amp;"Benzyna"&amp;"*")=1,"Benzyna","Inny wydatek"))</f>
        <v>Parking</v>
      </c>
      <c r="E59" s="25">
        <v>44482</v>
      </c>
      <c r="F59" s="26" t="s">
        <v>152</v>
      </c>
      <c r="G59" s="27" t="str">
        <f t="shared" si="0"/>
        <v/>
      </c>
      <c r="I59" s="10">
        <v>150</v>
      </c>
      <c r="J59" s="23">
        <v>110</v>
      </c>
      <c r="K59" s="23" t="s">
        <v>92</v>
      </c>
      <c r="L59" s="33">
        <v>45185</v>
      </c>
      <c r="M59" s="11">
        <v>6.29</v>
      </c>
      <c r="O59" s="10">
        <v>129</v>
      </c>
      <c r="P59" s="28">
        <v>80</v>
      </c>
      <c r="Q59" s="28" t="s">
        <v>77</v>
      </c>
      <c r="R59" s="30">
        <v>45031</v>
      </c>
      <c r="S59" s="31"/>
    </row>
    <row r="60" spans="1:19" ht="15" customHeight="1" x14ac:dyDescent="0.3">
      <c r="A60" s="6">
        <f>ROW(Wydatki[[#This Row],[Amount]])-8</f>
        <v>52</v>
      </c>
      <c r="B60" s="22">
        <v>2</v>
      </c>
      <c r="C60" s="23" t="s">
        <v>35</v>
      </c>
      <c r="D60" s="23" t="str">
        <f>IF(COUNTIF(Wydatki[[#This Row],[Expenditure]],"*"&amp;"Parking"&amp;"*")=1,"Parking",IF(COUNTIF(Wydatki[[#This Row],[Expenditure]],"*"&amp;"Benzyna"&amp;"*")=1,"Benzyna","Inny wydatek"))</f>
        <v>Parking</v>
      </c>
      <c r="E60" s="25">
        <v>44494</v>
      </c>
      <c r="F60" s="26" t="s">
        <v>152</v>
      </c>
      <c r="G60" s="27" t="str">
        <f t="shared" si="0"/>
        <v/>
      </c>
      <c r="I60" s="10">
        <v>153</v>
      </c>
      <c r="J60" s="28">
        <v>166</v>
      </c>
      <c r="K60" s="28" t="s">
        <v>93</v>
      </c>
      <c r="L60" s="30">
        <v>45198</v>
      </c>
      <c r="M60" s="11">
        <v>5.95</v>
      </c>
      <c r="O60" s="10">
        <v>131</v>
      </c>
      <c r="P60" s="28">
        <v>99</v>
      </c>
      <c r="Q60" s="28" t="s">
        <v>27</v>
      </c>
      <c r="R60" s="30">
        <v>45044</v>
      </c>
      <c r="S60" s="31"/>
    </row>
    <row r="61" spans="1:19" ht="15" customHeight="1" x14ac:dyDescent="0.3">
      <c r="A61" s="6">
        <f>ROW(Wydatki[[#This Row],[Amount]])-8</f>
        <v>53</v>
      </c>
      <c r="B61" s="22">
        <v>4</v>
      </c>
      <c r="C61" s="23" t="s">
        <v>22</v>
      </c>
      <c r="D61" s="23" t="str">
        <f>IF(COUNTIF(Wydatki[[#This Row],[Expenditure]],"*"&amp;"Parking"&amp;"*")=1,"Parking",IF(COUNTIF(Wydatki[[#This Row],[Expenditure]],"*"&amp;"Benzyna"&amp;"*")=1,"Benzyna","Inny wydatek"))</f>
        <v>Parking</v>
      </c>
      <c r="E61" s="25">
        <v>44517</v>
      </c>
      <c r="F61" s="26" t="s">
        <v>152</v>
      </c>
      <c r="G61" s="27" t="str">
        <f t="shared" si="0"/>
        <v/>
      </c>
      <c r="I61" s="10">
        <v>155</v>
      </c>
      <c r="J61" s="28">
        <v>107</v>
      </c>
      <c r="K61" s="28" t="s">
        <v>94</v>
      </c>
      <c r="L61" s="30">
        <v>45200</v>
      </c>
      <c r="M61" s="11">
        <v>5.98</v>
      </c>
      <c r="O61" s="10">
        <v>135</v>
      </c>
      <c r="P61" s="28">
        <v>20</v>
      </c>
      <c r="Q61" s="28" t="s">
        <v>81</v>
      </c>
      <c r="R61" s="30">
        <v>45073</v>
      </c>
      <c r="S61" s="31"/>
    </row>
    <row r="62" spans="1:19" ht="15" customHeight="1" x14ac:dyDescent="0.3">
      <c r="A62" s="6">
        <f>ROW(Wydatki[[#This Row],[Amount]])-8</f>
        <v>54</v>
      </c>
      <c r="B62" s="22">
        <v>1014</v>
      </c>
      <c r="C62" s="23" t="s">
        <v>132</v>
      </c>
      <c r="D62" s="23" t="str">
        <f>IF(COUNTIF(Wydatki[[#This Row],[Expenditure]],"*"&amp;"Parking"&amp;"*")=1,"Parking",IF(COUNTIF(Wydatki[[#This Row],[Expenditure]],"*"&amp;"Benzyna"&amp;"*")=1,"Benzyna","Inny wydatek"))</f>
        <v>Inny wydatek</v>
      </c>
      <c r="E62" s="25">
        <v>44517</v>
      </c>
      <c r="F62" s="26" t="s">
        <v>152</v>
      </c>
      <c r="G62" s="27" t="str">
        <f t="shared" si="0"/>
        <v/>
      </c>
      <c r="I62" s="10">
        <v>158</v>
      </c>
      <c r="J62" s="23">
        <v>104</v>
      </c>
      <c r="K62" s="23" t="s">
        <v>53</v>
      </c>
      <c r="L62" s="33">
        <v>45217</v>
      </c>
      <c r="M62" s="11">
        <v>6.15</v>
      </c>
      <c r="O62" s="10">
        <v>142</v>
      </c>
      <c r="P62" s="28">
        <v>9</v>
      </c>
      <c r="Q62" s="28" t="s">
        <v>86</v>
      </c>
      <c r="R62" s="30">
        <v>45141</v>
      </c>
      <c r="S62" s="31"/>
    </row>
    <row r="63" spans="1:19" ht="15" customHeight="1" x14ac:dyDescent="0.3">
      <c r="A63" s="6">
        <f>ROW(Wydatki[[#This Row],[Amount]])-8</f>
        <v>55</v>
      </c>
      <c r="B63" s="22">
        <v>19</v>
      </c>
      <c r="C63" s="23" t="s">
        <v>14</v>
      </c>
      <c r="D63" s="23" t="str">
        <f>IF(COUNTIF(Wydatki[[#This Row],[Expenditure]],"*"&amp;"Parking"&amp;"*")=1,"Parking",IF(COUNTIF(Wydatki[[#This Row],[Expenditure]],"*"&amp;"Benzyna"&amp;"*")=1,"Benzyna","Inny wydatek"))</f>
        <v>Inny wydatek</v>
      </c>
      <c r="E63" s="25">
        <v>44522</v>
      </c>
      <c r="F63" s="26" t="s">
        <v>152</v>
      </c>
      <c r="G63" s="27" t="str">
        <f t="shared" si="0"/>
        <v/>
      </c>
      <c r="I63" s="10">
        <v>159</v>
      </c>
      <c r="J63" s="23">
        <v>75</v>
      </c>
      <c r="K63" s="23" t="s">
        <v>96</v>
      </c>
      <c r="L63" s="33">
        <v>45220</v>
      </c>
      <c r="M63" s="11">
        <v>6.05</v>
      </c>
      <c r="O63" s="10">
        <v>143</v>
      </c>
      <c r="P63" s="28">
        <v>21</v>
      </c>
      <c r="Q63" s="28" t="s">
        <v>87</v>
      </c>
      <c r="R63" s="30">
        <v>45141</v>
      </c>
      <c r="S63" s="31"/>
    </row>
    <row r="64" spans="1:19" ht="15" customHeight="1" x14ac:dyDescent="0.3">
      <c r="A64" s="6">
        <f>ROW(Wydatki[[#This Row],[Amount]])-8</f>
        <v>56</v>
      </c>
      <c r="B64" s="22">
        <v>7</v>
      </c>
      <c r="C64" s="23" t="s">
        <v>22</v>
      </c>
      <c r="D64" s="23" t="str">
        <f>IF(COUNTIF(Wydatki[[#This Row],[Expenditure]],"*"&amp;"Parking"&amp;"*")=1,"Parking",IF(COUNTIF(Wydatki[[#This Row],[Expenditure]],"*"&amp;"Benzyna"&amp;"*")=1,"Benzyna","Inny wydatek"))</f>
        <v>Parking</v>
      </c>
      <c r="E64" s="25">
        <v>44526</v>
      </c>
      <c r="F64" s="26" t="s">
        <v>152</v>
      </c>
      <c r="G64" s="27" t="str">
        <f t="shared" si="0"/>
        <v/>
      </c>
      <c r="I64" s="10">
        <v>161</v>
      </c>
      <c r="J64" s="23">
        <v>149</v>
      </c>
      <c r="K64" s="23" t="s">
        <v>98</v>
      </c>
      <c r="L64" s="33">
        <v>45225</v>
      </c>
      <c r="M64" s="11">
        <v>6.13</v>
      </c>
      <c r="O64" s="10">
        <v>145</v>
      </c>
      <c r="P64" s="28">
        <v>43</v>
      </c>
      <c r="Q64" s="28" t="s">
        <v>89</v>
      </c>
      <c r="R64" s="30">
        <v>45150</v>
      </c>
      <c r="S64" s="31"/>
    </row>
    <row r="65" spans="1:20" ht="15" customHeight="1" x14ac:dyDescent="0.3">
      <c r="A65" s="6">
        <f>ROW(Wydatki[[#This Row],[Amount]])-8</f>
        <v>57</v>
      </c>
      <c r="B65" s="22">
        <v>6</v>
      </c>
      <c r="C65" s="23" t="s">
        <v>37</v>
      </c>
      <c r="D65" s="23" t="str">
        <f>IF(COUNTIF(Wydatki[[#This Row],[Expenditure]],"*"&amp;"Parking"&amp;"*")=1,"Parking",IF(COUNTIF(Wydatki[[#This Row],[Expenditure]],"*"&amp;"Benzyna"&amp;"*")=1,"Benzyna","Inny wydatek"))</f>
        <v>Inny wydatek</v>
      </c>
      <c r="E65" s="25">
        <v>44527</v>
      </c>
      <c r="F65" s="26" t="s">
        <v>152</v>
      </c>
      <c r="G65" s="27" t="str">
        <f t="shared" si="0"/>
        <v/>
      </c>
      <c r="I65" s="10">
        <v>162</v>
      </c>
      <c r="J65" s="28">
        <v>151</v>
      </c>
      <c r="K65" s="28" t="s">
        <v>99</v>
      </c>
      <c r="L65" s="30">
        <v>45232</v>
      </c>
      <c r="M65" s="11">
        <v>6.43</v>
      </c>
      <c r="O65" s="10">
        <v>146</v>
      </c>
      <c r="P65" s="28">
        <v>50</v>
      </c>
      <c r="Q65" s="28" t="s">
        <v>90</v>
      </c>
      <c r="R65" s="30">
        <v>45150</v>
      </c>
      <c r="S65" s="31"/>
    </row>
    <row r="66" spans="1:20" ht="15" customHeight="1" x14ac:dyDescent="0.3">
      <c r="A66" s="6">
        <f>ROW(Wydatki[[#This Row],[Amount]])-8</f>
        <v>58</v>
      </c>
      <c r="B66" s="22">
        <v>14</v>
      </c>
      <c r="C66" s="23" t="s">
        <v>38</v>
      </c>
      <c r="D66" s="23" t="str">
        <f>IF(COUNTIF(Wydatki[[#This Row],[Expenditure]],"*"&amp;"Parking"&amp;"*")=1,"Parking",IF(COUNTIF(Wydatki[[#This Row],[Expenditure]],"*"&amp;"Benzyna"&amp;"*")=1,"Benzyna","Inny wydatek"))</f>
        <v>Inny wydatek</v>
      </c>
      <c r="E66" s="25">
        <v>44527</v>
      </c>
      <c r="F66" s="26" t="s">
        <v>152</v>
      </c>
      <c r="G66" s="27" t="str">
        <f t="shared" si="0"/>
        <v/>
      </c>
      <c r="I66" s="10">
        <v>165</v>
      </c>
      <c r="J66" s="28">
        <v>101</v>
      </c>
      <c r="K66" s="28" t="s">
        <v>100</v>
      </c>
      <c r="L66" s="30">
        <v>45240</v>
      </c>
      <c r="M66" s="11">
        <v>6.39</v>
      </c>
      <c r="O66" s="10">
        <v>168</v>
      </c>
      <c r="P66" s="28">
        <v>15</v>
      </c>
      <c r="Q66" s="28" t="s">
        <v>3</v>
      </c>
      <c r="R66" s="30">
        <v>45267</v>
      </c>
      <c r="S66" s="31"/>
    </row>
    <row r="67" spans="1:20" ht="15" customHeight="1" x14ac:dyDescent="0.3">
      <c r="A67" s="6">
        <f>ROW(Wydatki[[#This Row],[Amount]])-8</f>
        <v>59</v>
      </c>
      <c r="B67" s="22">
        <v>13</v>
      </c>
      <c r="C67" s="23" t="s">
        <v>39</v>
      </c>
      <c r="D67" s="23" t="str">
        <f>IF(COUNTIF(Wydatki[[#This Row],[Expenditure]],"*"&amp;"Parking"&amp;"*")=1,"Parking",IF(COUNTIF(Wydatki[[#This Row],[Expenditure]],"*"&amp;"Benzyna"&amp;"*")=1,"Benzyna","Inny wydatek"))</f>
        <v>Inny wydatek</v>
      </c>
      <c r="E67" s="25">
        <v>44527</v>
      </c>
      <c r="F67" s="26" t="s">
        <v>152</v>
      </c>
      <c r="G67" s="27" t="str">
        <f t="shared" si="0"/>
        <v/>
      </c>
      <c r="I67" s="10">
        <v>166</v>
      </c>
      <c r="J67" s="23">
        <v>163</v>
      </c>
      <c r="K67" s="23" t="s">
        <v>101</v>
      </c>
      <c r="L67" s="33">
        <v>45257</v>
      </c>
      <c r="M67" s="11">
        <v>6.29</v>
      </c>
      <c r="O67" s="10">
        <v>183</v>
      </c>
      <c r="P67" s="28">
        <v>98</v>
      </c>
      <c r="Q67" s="28" t="s">
        <v>27</v>
      </c>
      <c r="R67" s="30">
        <v>45407</v>
      </c>
      <c r="S67" s="31"/>
    </row>
    <row r="68" spans="1:20" ht="15" customHeight="1" x14ac:dyDescent="0.3">
      <c r="A68" s="6">
        <f>ROW(Wydatki[[#This Row],[Amount]])-8</f>
        <v>60</v>
      </c>
      <c r="B68" s="22">
        <v>13</v>
      </c>
      <c r="C68" s="23" t="s">
        <v>40</v>
      </c>
      <c r="D68" s="23" t="str">
        <f>IF(COUNTIF(Wydatki[[#This Row],[Expenditure]],"*"&amp;"Parking"&amp;"*")=1,"Parking",IF(COUNTIF(Wydatki[[#This Row],[Expenditure]],"*"&amp;"Benzyna"&amp;"*")=1,"Benzyna","Inny wydatek"))</f>
        <v>Inny wydatek</v>
      </c>
      <c r="E68" s="25">
        <v>44527</v>
      </c>
      <c r="F68" s="26" t="s">
        <v>152</v>
      </c>
      <c r="G68" s="27" t="str">
        <f t="shared" si="0"/>
        <v/>
      </c>
      <c r="I68" s="10">
        <v>171</v>
      </c>
      <c r="J68" s="23">
        <v>180</v>
      </c>
      <c r="K68" s="23" t="s">
        <v>102</v>
      </c>
      <c r="L68" s="33">
        <v>45284</v>
      </c>
      <c r="M68" s="11">
        <v>6.1</v>
      </c>
      <c r="O68" s="10">
        <v>184</v>
      </c>
      <c r="P68" s="28">
        <v>20</v>
      </c>
      <c r="Q68" s="28" t="s">
        <v>14</v>
      </c>
      <c r="R68" s="30">
        <v>45404</v>
      </c>
      <c r="S68" s="31"/>
    </row>
    <row r="69" spans="1:20" ht="15" customHeight="1" x14ac:dyDescent="0.3">
      <c r="A69" s="6">
        <f>ROW(Wydatki[[#This Row],[Amount]])-8</f>
        <v>61</v>
      </c>
      <c r="B69" s="22">
        <v>5</v>
      </c>
      <c r="C69" s="23" t="s">
        <v>22</v>
      </c>
      <c r="D69" s="23" t="str">
        <f>IF(COUNTIF(Wydatki[[#This Row],[Expenditure]],"*"&amp;"Parking"&amp;"*")=1,"Parking",IF(COUNTIF(Wydatki[[#This Row],[Expenditure]],"*"&amp;"Benzyna"&amp;"*")=1,"Benzyna","Inny wydatek"))</f>
        <v>Parking</v>
      </c>
      <c r="E69" s="25">
        <v>44529</v>
      </c>
      <c r="F69" s="26" t="s">
        <v>152</v>
      </c>
      <c r="G69" s="27" t="str">
        <f t="shared" si="0"/>
        <v/>
      </c>
      <c r="I69" s="10">
        <v>172</v>
      </c>
      <c r="J69" s="28">
        <v>126</v>
      </c>
      <c r="K69" s="28" t="s">
        <v>74</v>
      </c>
      <c r="L69" s="30">
        <v>45293</v>
      </c>
      <c r="M69" s="11">
        <v>6.03</v>
      </c>
      <c r="O69" s="10">
        <v>214</v>
      </c>
      <c r="P69" s="28">
        <v>72</v>
      </c>
      <c r="Q69" s="28" t="s">
        <v>126</v>
      </c>
      <c r="R69" s="30">
        <v>45651</v>
      </c>
      <c r="S69" s="31"/>
    </row>
    <row r="70" spans="1:20" ht="15" customHeight="1" x14ac:dyDescent="0.3">
      <c r="A70" s="6">
        <f>ROW(Wydatki[[#This Row],[Amount]])-8</f>
        <v>62</v>
      </c>
      <c r="B70" s="22">
        <v>206</v>
      </c>
      <c r="C70" s="23" t="s">
        <v>41</v>
      </c>
      <c r="D70" s="23" t="str">
        <f>IF(COUNTIF(Wydatki[[#This Row],[Expenditure]],"*"&amp;"Parking"&amp;"*")=1,"Parking",IF(COUNTIF(Wydatki[[#This Row],[Expenditure]],"*"&amp;"Benzyna"&amp;"*")=1,"Benzyna","Inny wydatek"))</f>
        <v>Benzyna</v>
      </c>
      <c r="E70" s="25">
        <v>44532</v>
      </c>
      <c r="F70" s="26" t="s">
        <v>152</v>
      </c>
      <c r="G70" s="27">
        <f t="shared" si="0"/>
        <v>5.9710144927536231</v>
      </c>
      <c r="I70" s="10">
        <v>174</v>
      </c>
      <c r="J70" s="23">
        <v>179</v>
      </c>
      <c r="K70" s="23" t="s">
        <v>104</v>
      </c>
      <c r="L70" s="33">
        <v>45321</v>
      </c>
      <c r="M70" s="11">
        <v>6.13</v>
      </c>
      <c r="O70" s="10">
        <v>215</v>
      </c>
      <c r="P70" s="28">
        <v>68</v>
      </c>
      <c r="Q70" s="28" t="s">
        <v>126</v>
      </c>
      <c r="R70" s="30">
        <v>45653</v>
      </c>
      <c r="S70" s="31"/>
    </row>
    <row r="71" spans="1:20" ht="15" customHeight="1" x14ac:dyDescent="0.3">
      <c r="A71" s="6">
        <f>ROW(Wydatki[[#This Row],[Amount]])-8</f>
        <v>63</v>
      </c>
      <c r="B71" s="22">
        <v>25</v>
      </c>
      <c r="C71" s="23" t="s">
        <v>42</v>
      </c>
      <c r="D71" s="23" t="str">
        <f>IF(COUNTIF(Wydatki[[#This Row],[Expenditure]],"*"&amp;"Parking"&amp;"*")=1,"Parking",IF(COUNTIF(Wydatki[[#This Row],[Expenditure]],"*"&amp;"Benzyna"&amp;"*")=1,"Benzyna","Inny wydatek"))</f>
        <v>Inny wydatek</v>
      </c>
      <c r="E71" s="25">
        <v>44532</v>
      </c>
      <c r="F71" s="26" t="s">
        <v>153</v>
      </c>
      <c r="G71" s="27" t="str">
        <f t="shared" si="0"/>
        <v/>
      </c>
      <c r="I71" s="10">
        <v>175</v>
      </c>
      <c r="J71" s="28">
        <v>152</v>
      </c>
      <c r="K71" s="28" t="s">
        <v>105</v>
      </c>
      <c r="L71" s="30">
        <v>45338</v>
      </c>
      <c r="M71" s="11">
        <v>6.39</v>
      </c>
    </row>
    <row r="72" spans="1:20" ht="15" customHeight="1" x14ac:dyDescent="0.3">
      <c r="A72" s="6">
        <f>ROW(Wydatki[[#This Row],[Amount]])-8</f>
        <v>64</v>
      </c>
      <c r="B72" s="22">
        <v>28</v>
      </c>
      <c r="C72" s="23" t="s">
        <v>43</v>
      </c>
      <c r="D72" s="23" t="str">
        <f>IF(COUNTIF(Wydatki[[#This Row],[Expenditure]],"*"&amp;"Parking"&amp;"*")=1,"Parking",IF(COUNTIF(Wydatki[[#This Row],[Expenditure]],"*"&amp;"Benzyna"&amp;"*")=1,"Benzyna","Inny wydatek"))</f>
        <v>Inny wydatek</v>
      </c>
      <c r="E72" s="25">
        <v>44532</v>
      </c>
      <c r="F72" s="26" t="s">
        <v>153</v>
      </c>
      <c r="G72" s="27" t="str">
        <f t="shared" si="0"/>
        <v/>
      </c>
      <c r="I72" s="10">
        <v>177</v>
      </c>
      <c r="J72" s="28">
        <v>159</v>
      </c>
      <c r="K72" s="28" t="s">
        <v>106</v>
      </c>
      <c r="L72" s="30">
        <v>45352</v>
      </c>
      <c r="M72" s="11">
        <v>6.39</v>
      </c>
      <c r="O72" s="56" t="s">
        <v>177</v>
      </c>
      <c r="P72" s="56"/>
      <c r="Q72" s="56"/>
      <c r="R72" s="56"/>
      <c r="S72" s="56"/>
      <c r="T72" s="56"/>
    </row>
    <row r="73" spans="1:20" ht="15" customHeight="1" x14ac:dyDescent="0.3">
      <c r="A73" s="6">
        <f>ROW(Wydatki[[#This Row],[Amount]])-8</f>
        <v>65</v>
      </c>
      <c r="B73" s="22">
        <v>39</v>
      </c>
      <c r="C73" s="23" t="s">
        <v>44</v>
      </c>
      <c r="D73" s="23" t="str">
        <f>IF(COUNTIF(Wydatki[[#This Row],[Expenditure]],"*"&amp;"Parking"&amp;"*")=1,"Parking",IF(COUNTIF(Wydatki[[#This Row],[Expenditure]],"*"&amp;"Benzyna"&amp;"*")=1,"Benzyna","Inny wydatek"))</f>
        <v>Inny wydatek</v>
      </c>
      <c r="E73" s="25">
        <v>44532</v>
      </c>
      <c r="F73" s="26" t="s">
        <v>153</v>
      </c>
      <c r="G73" s="27" t="str">
        <f t="shared" ref="G73:G136" si="1">IFERROR(B73/MID(C73,9,4),"")</f>
        <v/>
      </c>
      <c r="I73" s="10">
        <v>178</v>
      </c>
      <c r="J73" s="28">
        <v>140</v>
      </c>
      <c r="K73" s="28" t="s">
        <v>107</v>
      </c>
      <c r="L73" s="30">
        <v>45359</v>
      </c>
      <c r="M73" s="11">
        <v>6.33</v>
      </c>
    </row>
    <row r="74" spans="1:20" ht="15" customHeight="1" x14ac:dyDescent="0.3">
      <c r="A74" s="6">
        <f>ROW(Wydatki[[#This Row],[Amount]])-8</f>
        <v>66</v>
      </c>
      <c r="B74" s="22">
        <v>171</v>
      </c>
      <c r="C74" s="23" t="s">
        <v>45</v>
      </c>
      <c r="D74" s="23" t="str">
        <f>IF(COUNTIF(Wydatki[[#This Row],[Expenditure]],"*"&amp;"Parking"&amp;"*")=1,"Parking",IF(COUNTIF(Wydatki[[#This Row],[Expenditure]],"*"&amp;"Benzyna"&amp;"*")=1,"Benzyna","Inny wydatek"))</f>
        <v>Inny wydatek</v>
      </c>
      <c r="E74" s="25">
        <v>44532</v>
      </c>
      <c r="F74" s="26" t="s">
        <v>153</v>
      </c>
      <c r="G74" s="27" t="str">
        <f t="shared" si="1"/>
        <v/>
      </c>
      <c r="I74" s="10">
        <v>180</v>
      </c>
      <c r="J74" s="28">
        <v>140</v>
      </c>
      <c r="K74" s="28" t="s">
        <v>108</v>
      </c>
      <c r="L74" s="30">
        <v>45380</v>
      </c>
      <c r="M74" s="11">
        <v>6.45</v>
      </c>
      <c r="O74" s="5" t="s">
        <v>172</v>
      </c>
      <c r="P74" s="5" t="s">
        <v>173</v>
      </c>
      <c r="Q74" s="5" t="s">
        <v>171</v>
      </c>
      <c r="R74" s="5" t="s">
        <v>0</v>
      </c>
      <c r="S74" s="5" t="s">
        <v>175</v>
      </c>
      <c r="T74" s="5" t="s">
        <v>130</v>
      </c>
    </row>
    <row r="75" spans="1:20" ht="15" customHeight="1" x14ac:dyDescent="0.3">
      <c r="A75" s="6">
        <f>ROW(Wydatki[[#This Row],[Amount]])-8</f>
        <v>67</v>
      </c>
      <c r="B75" s="22">
        <v>50</v>
      </c>
      <c r="C75" s="23" t="s">
        <v>46</v>
      </c>
      <c r="D75" s="23" t="str">
        <f>IF(COUNTIF(Wydatki[[#This Row],[Expenditure]],"*"&amp;"Parking"&amp;"*")=1,"Parking",IF(COUNTIF(Wydatki[[#This Row],[Expenditure]],"*"&amp;"Benzyna"&amp;"*")=1,"Benzyna","Inny wydatek"))</f>
        <v>Inny wydatek</v>
      </c>
      <c r="E75" s="25">
        <v>44532</v>
      </c>
      <c r="F75" s="26" t="s">
        <v>153</v>
      </c>
      <c r="G75" s="27" t="str">
        <f t="shared" si="1"/>
        <v/>
      </c>
      <c r="I75" s="10">
        <v>181</v>
      </c>
      <c r="J75" s="28">
        <v>141</v>
      </c>
      <c r="K75" s="28" t="s">
        <v>55</v>
      </c>
      <c r="L75" s="30">
        <v>45387</v>
      </c>
      <c r="M75" s="11">
        <v>6.56</v>
      </c>
      <c r="O75" s="28"/>
      <c r="P75" s="28"/>
      <c r="Q75" s="29" t="str">
        <f>"Benzyna"</f>
        <v>Benzyna</v>
      </c>
      <c r="R75" s="28"/>
      <c r="S75" s="29"/>
      <c r="T75" s="28">
        <f>DSUM(A8:G225,B8,O74:S75)</f>
        <v>12856</v>
      </c>
    </row>
    <row r="76" spans="1:20" ht="15" customHeight="1" x14ac:dyDescent="0.3">
      <c r="A76" s="6">
        <f>ROW(Wydatki[[#This Row],[Amount]])-8</f>
        <v>68</v>
      </c>
      <c r="B76" s="22">
        <v>65</v>
      </c>
      <c r="C76" s="23" t="s">
        <v>47</v>
      </c>
      <c r="D76" s="23" t="str">
        <f>IF(COUNTIF(Wydatki[[#This Row],[Expenditure]],"*"&amp;"Parking"&amp;"*")=1,"Parking",IF(COUNTIF(Wydatki[[#This Row],[Expenditure]],"*"&amp;"Benzyna"&amp;"*")=1,"Benzyna","Inny wydatek"))</f>
        <v>Inny wydatek</v>
      </c>
      <c r="E76" s="25">
        <v>44532</v>
      </c>
      <c r="F76" s="26" t="s">
        <v>153</v>
      </c>
      <c r="G76" s="27" t="str">
        <f t="shared" si="1"/>
        <v/>
      </c>
      <c r="I76" s="10">
        <v>182</v>
      </c>
      <c r="J76" s="28">
        <v>203</v>
      </c>
      <c r="K76" s="28" t="s">
        <v>109</v>
      </c>
      <c r="L76" s="30">
        <v>45404</v>
      </c>
      <c r="M76" s="11">
        <v>6.77</v>
      </c>
    </row>
    <row r="77" spans="1:20" ht="15" customHeight="1" x14ac:dyDescent="0.3">
      <c r="A77" s="6">
        <f>ROW(Wydatki[[#This Row],[Amount]])-8</f>
        <v>69</v>
      </c>
      <c r="B77" s="22">
        <v>4</v>
      </c>
      <c r="C77" s="23" t="s">
        <v>22</v>
      </c>
      <c r="D77" s="23" t="str">
        <f>IF(COUNTIF(Wydatki[[#This Row],[Expenditure]],"*"&amp;"Parking"&amp;"*")=1,"Parking",IF(COUNTIF(Wydatki[[#This Row],[Expenditure]],"*"&amp;"Benzyna"&amp;"*")=1,"Benzyna","Inny wydatek"))</f>
        <v>Parking</v>
      </c>
      <c r="E77" s="25">
        <v>44543</v>
      </c>
      <c r="F77" s="26" t="s">
        <v>152</v>
      </c>
      <c r="G77" s="27" t="str">
        <f t="shared" si="1"/>
        <v/>
      </c>
      <c r="I77" s="10">
        <v>185</v>
      </c>
      <c r="J77" s="28">
        <v>185</v>
      </c>
      <c r="K77" s="28" t="s">
        <v>110</v>
      </c>
      <c r="L77" s="30">
        <v>45404</v>
      </c>
      <c r="M77" s="11">
        <v>6.61</v>
      </c>
      <c r="O77" s="56" t="s">
        <v>178</v>
      </c>
      <c r="P77" s="56"/>
      <c r="Q77" s="56"/>
      <c r="R77" s="56"/>
      <c r="S77" s="56"/>
      <c r="T77" s="56"/>
    </row>
    <row r="78" spans="1:20" ht="15" customHeight="1" x14ac:dyDescent="0.3">
      <c r="A78" s="6">
        <f>ROW(Wydatki[[#This Row],[Amount]])-8</f>
        <v>70</v>
      </c>
      <c r="B78" s="22">
        <v>7</v>
      </c>
      <c r="C78" s="23" t="s">
        <v>22</v>
      </c>
      <c r="D78" s="23" t="str">
        <f>IF(COUNTIF(Wydatki[[#This Row],[Expenditure]],"*"&amp;"Parking"&amp;"*")=1,"Parking",IF(COUNTIF(Wydatki[[#This Row],[Expenditure]],"*"&amp;"Benzyna"&amp;"*")=1,"Benzyna","Inny wydatek"))</f>
        <v>Parking</v>
      </c>
      <c r="E78" s="25">
        <v>44552</v>
      </c>
      <c r="F78" s="26" t="s">
        <v>152</v>
      </c>
      <c r="G78" s="27" t="str">
        <f t="shared" si="1"/>
        <v/>
      </c>
      <c r="I78" s="10">
        <v>188</v>
      </c>
      <c r="J78" s="28">
        <v>160</v>
      </c>
      <c r="K78" s="28" t="s">
        <v>111</v>
      </c>
      <c r="L78" s="30">
        <v>45431</v>
      </c>
      <c r="M78" s="11">
        <v>6.53</v>
      </c>
    </row>
    <row r="79" spans="1:20" ht="15" customHeight="1" x14ac:dyDescent="0.3">
      <c r="A79" s="6">
        <f>ROW(Wydatki[[#This Row],[Amount]])-8</f>
        <v>71</v>
      </c>
      <c r="B79" s="22">
        <v>161</v>
      </c>
      <c r="C79" s="23" t="s">
        <v>19</v>
      </c>
      <c r="D79" s="23" t="str">
        <f>IF(COUNTIF(Wydatki[[#This Row],[Expenditure]],"*"&amp;"Parking"&amp;"*")=1,"Parking",IF(COUNTIF(Wydatki[[#This Row],[Expenditure]],"*"&amp;"Benzyna"&amp;"*")=1,"Benzyna","Inny wydatek"))</f>
        <v>Benzyna</v>
      </c>
      <c r="E79" s="25">
        <v>44552</v>
      </c>
      <c r="F79" s="26" t="s">
        <v>152</v>
      </c>
      <c r="G79" s="27">
        <f t="shared" si="1"/>
        <v>5.6890459363957593</v>
      </c>
      <c r="I79" s="10">
        <v>191</v>
      </c>
      <c r="J79" s="28">
        <v>202</v>
      </c>
      <c r="K79" s="28" t="s">
        <v>112</v>
      </c>
      <c r="L79" s="30">
        <v>45444</v>
      </c>
      <c r="M79" s="11">
        <v>6.43</v>
      </c>
      <c r="O79" s="5" t="s">
        <v>172</v>
      </c>
      <c r="P79" s="5" t="s">
        <v>173</v>
      </c>
      <c r="Q79" s="5" t="s">
        <v>171</v>
      </c>
      <c r="R79" s="5" t="s">
        <v>0</v>
      </c>
      <c r="S79" s="5" t="s">
        <v>175</v>
      </c>
      <c r="T79" s="5" t="s">
        <v>130</v>
      </c>
    </row>
    <row r="80" spans="1:20" ht="15" customHeight="1" x14ac:dyDescent="0.3">
      <c r="A80" s="6">
        <f>ROW(Wydatki[[#This Row],[Amount]])-8</f>
        <v>72</v>
      </c>
      <c r="B80" s="22">
        <v>8</v>
      </c>
      <c r="C80" s="23" t="s">
        <v>48</v>
      </c>
      <c r="D80" s="23" t="str">
        <f>IF(COUNTIF(Wydatki[[#This Row],[Expenditure]],"*"&amp;"Parking"&amp;"*")=1,"Parking",IF(COUNTIF(Wydatki[[#This Row],[Expenditure]],"*"&amp;"Benzyna"&amp;"*")=1,"Benzyna","Inny wydatek"))</f>
        <v>Inny wydatek</v>
      </c>
      <c r="E80" s="25">
        <v>44554</v>
      </c>
      <c r="F80" s="26" t="s">
        <v>152</v>
      </c>
      <c r="G80" s="27" t="str">
        <f t="shared" si="1"/>
        <v/>
      </c>
      <c r="I80" s="10">
        <v>192</v>
      </c>
      <c r="J80" s="28">
        <v>184</v>
      </c>
      <c r="K80" s="28" t="s">
        <v>113</v>
      </c>
      <c r="L80" s="30">
        <v>45457</v>
      </c>
      <c r="M80" s="11">
        <v>6.46</v>
      </c>
      <c r="O80" s="28"/>
      <c r="P80" s="28"/>
      <c r="Q80" s="29" t="str">
        <f>"Parking"</f>
        <v>Parking</v>
      </c>
      <c r="R80" s="28"/>
      <c r="S80" s="29"/>
      <c r="T80" s="28">
        <f>DSUM(A8:G225,B8,O79:S80)</f>
        <v>1389</v>
      </c>
    </row>
    <row r="81" spans="1:20" ht="15" customHeight="1" x14ac:dyDescent="0.3">
      <c r="A81" s="6">
        <f>ROW(Wydatki[[#This Row],[Amount]])-8</f>
        <v>73</v>
      </c>
      <c r="B81" s="22">
        <v>160</v>
      </c>
      <c r="C81" s="23" t="s">
        <v>49</v>
      </c>
      <c r="D81" s="23" t="str">
        <f>IF(COUNTIF(Wydatki[[#This Row],[Expenditure]],"*"&amp;"Parking"&amp;"*")=1,"Parking",IF(COUNTIF(Wydatki[[#This Row],[Expenditure]],"*"&amp;"Benzyna"&amp;"*")=1,"Benzyna","Inny wydatek"))</f>
        <v>Benzyna</v>
      </c>
      <c r="E81" s="25">
        <v>44561</v>
      </c>
      <c r="F81" s="26" t="s">
        <v>152</v>
      </c>
      <c r="G81" s="27">
        <f t="shared" si="1"/>
        <v>5.6939501779359425</v>
      </c>
      <c r="I81" s="10">
        <v>193</v>
      </c>
      <c r="J81" s="28">
        <v>190</v>
      </c>
      <c r="K81" s="28" t="s">
        <v>114</v>
      </c>
      <c r="L81" s="30">
        <v>45472</v>
      </c>
      <c r="M81" s="11">
        <v>6.42</v>
      </c>
    </row>
    <row r="82" spans="1:20" ht="15" customHeight="1" x14ac:dyDescent="0.3">
      <c r="A82" s="6">
        <f>ROW(Wydatki[[#This Row],[Amount]])-8</f>
        <v>74</v>
      </c>
      <c r="B82" s="22">
        <v>5</v>
      </c>
      <c r="C82" s="23" t="s">
        <v>50</v>
      </c>
      <c r="D82" s="23" t="str">
        <f>IF(COUNTIF(Wydatki[[#This Row],[Expenditure]],"*"&amp;"Parking"&amp;"*")=1,"Parking",IF(COUNTIF(Wydatki[[#This Row],[Expenditure]],"*"&amp;"Benzyna"&amp;"*")=1,"Benzyna","Inny wydatek"))</f>
        <v>Parking</v>
      </c>
      <c r="E82" s="25">
        <v>44566</v>
      </c>
      <c r="F82" s="26" t="s">
        <v>152</v>
      </c>
      <c r="G82" s="27" t="str">
        <f t="shared" si="1"/>
        <v/>
      </c>
      <c r="I82" s="10">
        <v>196</v>
      </c>
      <c r="J82" s="28">
        <v>113</v>
      </c>
      <c r="K82" s="28" t="s">
        <v>115</v>
      </c>
      <c r="L82" s="30">
        <v>45487</v>
      </c>
      <c r="M82" s="11">
        <v>6.35</v>
      </c>
      <c r="O82" s="56" t="s">
        <v>179</v>
      </c>
      <c r="P82" s="56"/>
      <c r="Q82" s="56"/>
      <c r="R82" s="56"/>
      <c r="S82" s="56"/>
      <c r="T82" s="56"/>
    </row>
    <row r="83" spans="1:20" ht="15" customHeight="1" x14ac:dyDescent="0.3">
      <c r="A83" s="6">
        <f>ROW(Wydatki[[#This Row],[Amount]])-8</f>
        <v>75</v>
      </c>
      <c r="B83" s="22">
        <v>171</v>
      </c>
      <c r="C83" s="23" t="s">
        <v>51</v>
      </c>
      <c r="D83" s="23" t="str">
        <f>IF(COUNTIF(Wydatki[[#This Row],[Expenditure]],"*"&amp;"Parking"&amp;"*")=1,"Parking",IF(COUNTIF(Wydatki[[#This Row],[Expenditure]],"*"&amp;"Benzyna"&amp;"*")=1,"Benzyna","Inny wydatek"))</f>
        <v>Benzyna</v>
      </c>
      <c r="E83" s="25">
        <v>44573</v>
      </c>
      <c r="F83" s="26" t="s">
        <v>152</v>
      </c>
      <c r="G83" s="27">
        <f t="shared" si="1"/>
        <v>5.6810631229235877</v>
      </c>
      <c r="I83" s="10">
        <v>197</v>
      </c>
      <c r="J83" s="23">
        <v>142</v>
      </c>
      <c r="K83" s="23" t="s">
        <v>116</v>
      </c>
      <c r="L83" s="33">
        <v>45494</v>
      </c>
      <c r="M83" s="11">
        <v>6.28</v>
      </c>
    </row>
    <row r="84" spans="1:20" ht="15" customHeight="1" x14ac:dyDescent="0.3">
      <c r="A84" s="6">
        <f>ROW(Wydatki[[#This Row],[Amount]])-8</f>
        <v>76</v>
      </c>
      <c r="B84" s="22">
        <v>5</v>
      </c>
      <c r="C84" s="23" t="s">
        <v>50</v>
      </c>
      <c r="D84" s="23" t="str">
        <f>IF(COUNTIF(Wydatki[[#This Row],[Expenditure]],"*"&amp;"Parking"&amp;"*")=1,"Parking",IF(COUNTIF(Wydatki[[#This Row],[Expenditure]],"*"&amp;"Benzyna"&amp;"*")=1,"Benzyna","Inny wydatek"))</f>
        <v>Parking</v>
      </c>
      <c r="E84" s="25">
        <v>44573</v>
      </c>
      <c r="F84" s="26" t="s">
        <v>152</v>
      </c>
      <c r="G84" s="27" t="str">
        <f t="shared" si="1"/>
        <v/>
      </c>
      <c r="I84" s="10">
        <v>198</v>
      </c>
      <c r="J84" s="23">
        <v>171</v>
      </c>
      <c r="K84" s="23" t="s">
        <v>117</v>
      </c>
      <c r="L84" s="33">
        <v>45516</v>
      </c>
      <c r="M84" s="11">
        <v>6.17</v>
      </c>
    </row>
    <row r="85" spans="1:20" ht="15" customHeight="1" x14ac:dyDescent="0.3">
      <c r="A85" s="6">
        <f>ROW(Wydatki[[#This Row],[Amount]])-8</f>
        <v>77</v>
      </c>
      <c r="B85" s="22">
        <v>2</v>
      </c>
      <c r="C85" s="23" t="s">
        <v>50</v>
      </c>
      <c r="D85" s="23" t="str">
        <f>IF(COUNTIF(Wydatki[[#This Row],[Expenditure]],"*"&amp;"Parking"&amp;"*")=1,"Parking",IF(COUNTIF(Wydatki[[#This Row],[Expenditure]],"*"&amp;"Benzyna"&amp;"*")=1,"Benzyna","Inny wydatek"))</f>
        <v>Parking</v>
      </c>
      <c r="E85" s="25">
        <v>44609</v>
      </c>
      <c r="F85" s="26" t="s">
        <v>152</v>
      </c>
      <c r="G85" s="27" t="str">
        <f t="shared" si="1"/>
        <v/>
      </c>
      <c r="I85" s="10">
        <v>199</v>
      </c>
      <c r="J85" s="23">
        <v>170</v>
      </c>
      <c r="K85" s="23" t="s">
        <v>118</v>
      </c>
      <c r="L85" s="33">
        <v>45539</v>
      </c>
      <c r="M85" s="11">
        <v>6.2</v>
      </c>
    </row>
    <row r="86" spans="1:20" ht="15" customHeight="1" x14ac:dyDescent="0.3">
      <c r="A86" s="6">
        <f>ROW(Wydatki[[#This Row],[Amount]])-8</f>
        <v>78</v>
      </c>
      <c r="B86" s="22">
        <v>169</v>
      </c>
      <c r="C86" s="23" t="s">
        <v>52</v>
      </c>
      <c r="D86" s="23" t="str">
        <f>IF(COUNTIF(Wydatki[[#This Row],[Expenditure]],"*"&amp;"Parking"&amp;"*")=1,"Parking",IF(COUNTIF(Wydatki[[#This Row],[Expenditure]],"*"&amp;"Benzyna"&amp;"*")=1,"Benzyna","Inny wydatek"))</f>
        <v>Benzyna</v>
      </c>
      <c r="E86" s="25">
        <v>44606</v>
      </c>
      <c r="F86" s="26" t="s">
        <v>152</v>
      </c>
      <c r="G86" s="27">
        <f t="shared" si="1"/>
        <v>5.2978056426332287</v>
      </c>
      <c r="I86" s="10">
        <v>200</v>
      </c>
      <c r="J86" s="23">
        <v>154</v>
      </c>
      <c r="K86" s="23" t="s">
        <v>25</v>
      </c>
      <c r="L86" s="33">
        <v>45549</v>
      </c>
      <c r="M86" s="11">
        <v>6.11</v>
      </c>
    </row>
    <row r="87" spans="1:20" ht="15" customHeight="1" x14ac:dyDescent="0.3">
      <c r="A87" s="6">
        <f>ROW(Wydatki[[#This Row],[Amount]])-8</f>
        <v>79</v>
      </c>
      <c r="B87" s="22">
        <v>7</v>
      </c>
      <c r="C87" s="23" t="s">
        <v>50</v>
      </c>
      <c r="D87" s="23" t="str">
        <f>IF(COUNTIF(Wydatki[[#This Row],[Expenditure]],"*"&amp;"Parking"&amp;"*")=1,"Parking",IF(COUNTIF(Wydatki[[#This Row],[Expenditure]],"*"&amp;"Benzyna"&amp;"*")=1,"Benzyna","Inny wydatek"))</f>
        <v>Parking</v>
      </c>
      <c r="E87" s="25">
        <v>44627</v>
      </c>
      <c r="F87" s="26" t="s">
        <v>152</v>
      </c>
      <c r="G87" s="27" t="str">
        <f t="shared" si="1"/>
        <v/>
      </c>
      <c r="I87" s="10">
        <v>202</v>
      </c>
      <c r="J87" s="28">
        <v>115</v>
      </c>
      <c r="K87" s="28" t="s">
        <v>79</v>
      </c>
      <c r="L87" s="30">
        <v>45564</v>
      </c>
      <c r="M87" s="11">
        <v>5.99</v>
      </c>
    </row>
    <row r="88" spans="1:20" ht="15" customHeight="1" x14ac:dyDescent="0.3">
      <c r="A88" s="6">
        <f>ROW(Wydatki[[#This Row],[Amount]])-8</f>
        <v>80</v>
      </c>
      <c r="B88" s="22">
        <v>110</v>
      </c>
      <c r="C88" s="23" t="s">
        <v>53</v>
      </c>
      <c r="D88" s="23" t="str">
        <f>IF(COUNTIF(Wydatki[[#This Row],[Expenditure]],"*"&amp;"Parking"&amp;"*")=1,"Parking",IF(COUNTIF(Wydatki[[#This Row],[Expenditure]],"*"&amp;"Benzyna"&amp;"*")=1,"Benzyna","Inny wydatek"))</f>
        <v>Benzyna</v>
      </c>
      <c r="E88" s="25">
        <v>44627</v>
      </c>
      <c r="F88" s="26" t="s">
        <v>152</v>
      </c>
      <c r="G88" s="27">
        <f t="shared" si="1"/>
        <v>6.5088757396449708</v>
      </c>
      <c r="I88" s="10">
        <v>203</v>
      </c>
      <c r="J88" s="28">
        <v>94</v>
      </c>
      <c r="K88" s="28" t="s">
        <v>119</v>
      </c>
      <c r="L88" s="30">
        <v>45569</v>
      </c>
      <c r="M88" s="11">
        <v>5.99</v>
      </c>
    </row>
    <row r="89" spans="1:20" ht="15" customHeight="1" x14ac:dyDescent="0.3">
      <c r="A89" s="6">
        <f>ROW(Wydatki[[#This Row],[Amount]])-8</f>
        <v>81</v>
      </c>
      <c r="B89" s="22">
        <v>8</v>
      </c>
      <c r="C89" s="23" t="s">
        <v>54</v>
      </c>
      <c r="D89" s="23" t="str">
        <f>IF(COUNTIF(Wydatki[[#This Row],[Expenditure]],"*"&amp;"Parking"&amp;"*")=1,"Parking",IF(COUNTIF(Wydatki[[#This Row],[Expenditure]],"*"&amp;"Benzyna"&amp;"*")=1,"Benzyna","Inny wydatek"))</f>
        <v>Inny wydatek</v>
      </c>
      <c r="E89" s="25">
        <v>44628</v>
      </c>
      <c r="F89" s="26" t="s">
        <v>152</v>
      </c>
      <c r="G89" s="27" t="str">
        <f t="shared" si="1"/>
        <v/>
      </c>
      <c r="I89" s="10">
        <v>205</v>
      </c>
      <c r="J89" s="23">
        <v>185</v>
      </c>
      <c r="K89" s="23" t="s">
        <v>120</v>
      </c>
      <c r="L89" s="33">
        <v>45578</v>
      </c>
      <c r="M89" s="11">
        <v>6.19</v>
      </c>
    </row>
    <row r="90" spans="1:20" ht="15" customHeight="1" x14ac:dyDescent="0.3">
      <c r="A90" s="6">
        <f>ROW(Wydatki[[#This Row],[Amount]])-8</f>
        <v>82</v>
      </c>
      <c r="B90" s="22">
        <v>147</v>
      </c>
      <c r="C90" s="23" t="s">
        <v>55</v>
      </c>
      <c r="D90" s="23" t="str">
        <f>IF(COUNTIF(Wydatki[[#This Row],[Expenditure]],"*"&amp;"Parking"&amp;"*")=1,"Parking",IF(COUNTIF(Wydatki[[#This Row],[Expenditure]],"*"&amp;"Benzyna"&amp;"*")=1,"Benzyna","Inny wydatek"))</f>
        <v>Benzyna</v>
      </c>
      <c r="E90" s="25">
        <v>44628</v>
      </c>
      <c r="F90" s="26" t="s">
        <v>153</v>
      </c>
      <c r="G90" s="27">
        <f t="shared" si="1"/>
        <v>6.8372093023255811</v>
      </c>
      <c r="I90" s="10">
        <v>206</v>
      </c>
      <c r="J90" s="28">
        <v>177</v>
      </c>
      <c r="K90" s="28" t="s">
        <v>121</v>
      </c>
      <c r="L90" s="30">
        <v>45596</v>
      </c>
      <c r="M90" s="11">
        <v>6.04</v>
      </c>
    </row>
    <row r="91" spans="1:20" ht="15" customHeight="1" x14ac:dyDescent="0.3">
      <c r="A91" s="6">
        <f>ROW(Wydatki[[#This Row],[Amount]])-8</f>
        <v>83</v>
      </c>
      <c r="B91" s="22">
        <v>20</v>
      </c>
      <c r="C91" s="23" t="s">
        <v>3</v>
      </c>
      <c r="D91" s="23" t="str">
        <f>IF(COUNTIF(Wydatki[[#This Row],[Expenditure]],"*"&amp;"Parking"&amp;"*")=1,"Parking",IF(COUNTIF(Wydatki[[#This Row],[Expenditure]],"*"&amp;"Benzyna"&amp;"*")=1,"Benzyna","Inny wydatek"))</f>
        <v>Inny wydatek</v>
      </c>
      <c r="E91" s="25">
        <v>44628</v>
      </c>
      <c r="F91" s="26" t="s">
        <v>153</v>
      </c>
      <c r="G91" s="27" t="str">
        <f t="shared" si="1"/>
        <v/>
      </c>
      <c r="I91" s="10">
        <v>207</v>
      </c>
      <c r="J91" s="28">
        <v>117</v>
      </c>
      <c r="K91" s="28" t="s">
        <v>70</v>
      </c>
      <c r="L91" s="30">
        <v>45611</v>
      </c>
      <c r="M91" s="11">
        <v>6</v>
      </c>
    </row>
    <row r="92" spans="1:20" ht="15" customHeight="1" x14ac:dyDescent="0.3">
      <c r="A92" s="6">
        <f>ROW(Wydatki[[#This Row],[Amount]])-8</f>
        <v>84</v>
      </c>
      <c r="B92" s="22">
        <v>5</v>
      </c>
      <c r="C92" s="23" t="s">
        <v>50</v>
      </c>
      <c r="D92" s="23" t="str">
        <f>IF(COUNTIF(Wydatki[[#This Row],[Expenditure]],"*"&amp;"Parking"&amp;"*")=1,"Parking",IF(COUNTIF(Wydatki[[#This Row],[Expenditure]],"*"&amp;"Benzyna"&amp;"*")=1,"Benzyna","Inny wydatek"))</f>
        <v>Parking</v>
      </c>
      <c r="E92" s="25">
        <v>44637</v>
      </c>
      <c r="F92" s="26" t="s">
        <v>152</v>
      </c>
      <c r="G92" s="27" t="str">
        <f t="shared" si="1"/>
        <v/>
      </c>
      <c r="I92" s="10">
        <v>209</v>
      </c>
      <c r="J92" s="23">
        <v>159</v>
      </c>
      <c r="K92" s="23" t="s">
        <v>122</v>
      </c>
      <c r="L92" s="33">
        <v>45611</v>
      </c>
      <c r="M92" s="11">
        <v>6.19</v>
      </c>
    </row>
    <row r="93" spans="1:20" ht="15" customHeight="1" x14ac:dyDescent="0.3">
      <c r="A93" s="6">
        <f>ROW(Wydatki[[#This Row],[Amount]])-8</f>
        <v>85</v>
      </c>
      <c r="B93" s="22">
        <v>20</v>
      </c>
      <c r="C93" s="23" t="s">
        <v>56</v>
      </c>
      <c r="D93" s="23" t="str">
        <f>IF(COUNTIF(Wydatki[[#This Row],[Expenditure]],"*"&amp;"Parking"&amp;"*")=1,"Parking",IF(COUNTIF(Wydatki[[#This Row],[Expenditure]],"*"&amp;"Benzyna"&amp;"*")=1,"Benzyna","Inny wydatek"))</f>
        <v>Parking</v>
      </c>
      <c r="E93" s="25">
        <v>44649</v>
      </c>
      <c r="F93" s="26" t="s">
        <v>152</v>
      </c>
      <c r="G93" s="27" t="str">
        <f t="shared" si="1"/>
        <v/>
      </c>
      <c r="I93" s="10">
        <v>211</v>
      </c>
      <c r="J93" s="23">
        <v>70</v>
      </c>
      <c r="K93" s="23" t="s">
        <v>124</v>
      </c>
      <c r="L93" s="33">
        <v>45644</v>
      </c>
      <c r="M93" s="11">
        <v>6.19</v>
      </c>
    </row>
    <row r="94" spans="1:20" ht="15" customHeight="1" x14ac:dyDescent="0.3">
      <c r="A94" s="6">
        <f>ROW(Wydatki[[#This Row],[Amount]])-8</f>
        <v>86</v>
      </c>
      <c r="B94" s="22">
        <v>222</v>
      </c>
      <c r="C94" s="23" t="s">
        <v>57</v>
      </c>
      <c r="D94" s="23" t="str">
        <f>IF(COUNTIF(Wydatki[[#This Row],[Expenditure]],"*"&amp;"Parking"&amp;"*")=1,"Parking",IF(COUNTIF(Wydatki[[#This Row],[Expenditure]],"*"&amp;"Benzyna"&amp;"*")=1,"Benzyna","Inny wydatek"))</f>
        <v>Benzyna</v>
      </c>
      <c r="E94" s="25">
        <v>44649</v>
      </c>
      <c r="F94" s="26" t="s">
        <v>152</v>
      </c>
      <c r="G94" s="27">
        <f t="shared" si="1"/>
        <v>6.6467065868263475</v>
      </c>
      <c r="I94" s="10">
        <v>213</v>
      </c>
      <c r="J94" s="23">
        <v>64</v>
      </c>
      <c r="K94" s="23" t="s">
        <v>125</v>
      </c>
      <c r="L94" s="33">
        <v>45648</v>
      </c>
      <c r="M94" s="11">
        <v>6.15</v>
      </c>
    </row>
    <row r="95" spans="1:20" ht="15" customHeight="1" thickBot="1" x14ac:dyDescent="0.35">
      <c r="A95" s="6">
        <f>ROW(Wydatki[[#This Row],[Amount]])-8</f>
        <v>87</v>
      </c>
      <c r="B95" s="22">
        <v>189</v>
      </c>
      <c r="C95" s="23" t="s">
        <v>51</v>
      </c>
      <c r="D95" s="23" t="str">
        <f>IF(COUNTIF(Wydatki[[#This Row],[Expenditure]],"*"&amp;"Parking"&amp;"*")=1,"Parking",IF(COUNTIF(Wydatki[[#This Row],[Expenditure]],"*"&amp;"Benzyna"&amp;"*")=1,"Benzyna","Inny wydatek"))</f>
        <v>Benzyna</v>
      </c>
      <c r="E95" s="25">
        <v>44667</v>
      </c>
      <c r="F95" s="26" t="s">
        <v>152</v>
      </c>
      <c r="G95" s="27">
        <f t="shared" si="1"/>
        <v>6.2790697674418601</v>
      </c>
      <c r="I95" s="12">
        <v>216</v>
      </c>
      <c r="J95" s="34">
        <v>170</v>
      </c>
      <c r="K95" s="34" t="s">
        <v>110</v>
      </c>
      <c r="L95" s="35">
        <v>45653</v>
      </c>
      <c r="M95" s="13">
        <v>6.07</v>
      </c>
    </row>
    <row r="96" spans="1:20" ht="15" customHeight="1" x14ac:dyDescent="0.3">
      <c r="A96" s="6">
        <f>ROW(Wydatki[[#This Row],[Amount]])-8</f>
        <v>88</v>
      </c>
      <c r="B96" s="22">
        <v>99</v>
      </c>
      <c r="C96" s="23" t="s">
        <v>27</v>
      </c>
      <c r="D96" s="23" t="str">
        <f>IF(COUNTIF(Wydatki[[#This Row],[Expenditure]],"*"&amp;"Parking"&amp;"*")=1,"Parking",IF(COUNTIF(Wydatki[[#This Row],[Expenditure]],"*"&amp;"Benzyna"&amp;"*")=1,"Benzyna","Inny wydatek"))</f>
        <v>Inny wydatek</v>
      </c>
      <c r="E96" s="25">
        <v>44683</v>
      </c>
      <c r="F96" s="26" t="s">
        <v>152</v>
      </c>
      <c r="G96" s="27" t="str">
        <f t="shared" si="1"/>
        <v/>
      </c>
    </row>
    <row r="97" spans="1:20" ht="15" customHeight="1" x14ac:dyDescent="0.3">
      <c r="A97" s="6">
        <f>ROW(Wydatki[[#This Row],[Amount]])-8</f>
        <v>89</v>
      </c>
      <c r="B97" s="22">
        <v>180</v>
      </c>
      <c r="C97" s="23" t="s">
        <v>58</v>
      </c>
      <c r="D97" s="23" t="str">
        <f>IF(COUNTIF(Wydatki[[#This Row],[Expenditure]],"*"&amp;"Parking"&amp;"*")=1,"Parking",IF(COUNTIF(Wydatki[[#This Row],[Expenditure]],"*"&amp;"Benzyna"&amp;"*")=1,"Benzyna","Inny wydatek"))</f>
        <v>Inny wydatek</v>
      </c>
      <c r="E97" s="25">
        <v>44702</v>
      </c>
      <c r="F97" s="26" t="s">
        <v>153</v>
      </c>
      <c r="G97" s="27" t="str">
        <f t="shared" si="1"/>
        <v/>
      </c>
      <c r="I97" s="56" t="s">
        <v>180</v>
      </c>
      <c r="J97" s="56"/>
      <c r="K97" s="56"/>
      <c r="L97" s="56"/>
      <c r="M97" s="56"/>
    </row>
    <row r="98" spans="1:20" ht="15" customHeight="1" thickBot="1" x14ac:dyDescent="0.35">
      <c r="A98" s="6">
        <f>ROW(Wydatki[[#This Row],[Amount]])-8</f>
        <v>90</v>
      </c>
      <c r="B98" s="22">
        <v>171</v>
      </c>
      <c r="C98" s="23" t="s">
        <v>59</v>
      </c>
      <c r="D98" s="23" t="str">
        <f>IF(COUNTIF(Wydatki[[#This Row],[Expenditure]],"*"&amp;"Parking"&amp;"*")=1,"Parking",IF(COUNTIF(Wydatki[[#This Row],[Expenditure]],"*"&amp;"Benzyna"&amp;"*")=1,"Benzyna","Inny wydatek"))</f>
        <v>Benzyna</v>
      </c>
      <c r="E98" s="25">
        <v>44702</v>
      </c>
      <c r="F98" s="26" t="s">
        <v>152</v>
      </c>
      <c r="G98" s="27">
        <f t="shared" si="1"/>
        <v>7.3076923076923084</v>
      </c>
    </row>
    <row r="99" spans="1:20" ht="15" customHeight="1" x14ac:dyDescent="0.3">
      <c r="A99" s="6">
        <f>ROW(Wydatki[[#This Row],[Amount]])-8</f>
        <v>91</v>
      </c>
      <c r="B99" s="22">
        <v>20</v>
      </c>
      <c r="C99" s="23" t="s">
        <v>56</v>
      </c>
      <c r="D99" s="23" t="str">
        <f>IF(COUNTIF(Wydatki[[#This Row],[Expenditure]],"*"&amp;"Parking"&amp;"*")=1,"Parking",IF(COUNTIF(Wydatki[[#This Row],[Expenditure]],"*"&amp;"Benzyna"&amp;"*")=1,"Benzyna","Inny wydatek"))</f>
        <v>Parking</v>
      </c>
      <c r="E99" s="25">
        <v>44729</v>
      </c>
      <c r="F99" s="26" t="s">
        <v>152</v>
      </c>
      <c r="G99" s="27" t="str">
        <f t="shared" si="1"/>
        <v/>
      </c>
      <c r="I99" s="7" t="s">
        <v>171</v>
      </c>
      <c r="J99" s="8" t="s">
        <v>0</v>
      </c>
      <c r="K99" s="14" t="s">
        <v>173</v>
      </c>
    </row>
    <row r="100" spans="1:20" ht="15" customHeight="1" x14ac:dyDescent="0.3">
      <c r="A100" s="6">
        <f>ROW(Wydatki[[#This Row],[Amount]])-8</f>
        <v>92</v>
      </c>
      <c r="B100" s="22">
        <v>234</v>
      </c>
      <c r="C100" s="23" t="s">
        <v>60</v>
      </c>
      <c r="D100" s="23" t="str">
        <f>IF(COUNTIF(Wydatki[[#This Row],[Expenditure]],"*"&amp;"Parking"&amp;"*")=1,"Parking",IF(COUNTIF(Wydatki[[#This Row],[Expenditure]],"*"&amp;"Benzyna"&amp;"*")=1,"Benzyna","Inny wydatek"))</f>
        <v>Benzyna</v>
      </c>
      <c r="E100" s="25">
        <v>44747</v>
      </c>
      <c r="F100" s="26" t="s">
        <v>152</v>
      </c>
      <c r="G100" s="27">
        <f t="shared" si="1"/>
        <v>7.6221498371335503</v>
      </c>
      <c r="I100" s="36" t="s">
        <v>2</v>
      </c>
      <c r="J100" s="30">
        <f>VLOOKUP(I100,Wydatki[[#All],[Expenditure]:[Data]],3)</f>
        <v>45653</v>
      </c>
      <c r="K100" s="31">
        <f>INDEX(Wydatki[[#All],[Amount]],MATCH(I100,Wydatki[[#All],[Expenditure]],0))</f>
        <v>11500</v>
      </c>
    </row>
    <row r="101" spans="1:20" ht="15" customHeight="1" x14ac:dyDescent="0.3">
      <c r="A101" s="6">
        <f>ROW(Wydatki[[#This Row],[Amount]])-8</f>
        <v>93</v>
      </c>
      <c r="B101" s="22">
        <v>30</v>
      </c>
      <c r="C101" s="23" t="s">
        <v>56</v>
      </c>
      <c r="D101" s="23" t="str">
        <f>IF(COUNTIF(Wydatki[[#This Row],[Expenditure]],"*"&amp;"Parking"&amp;"*")=1,"Parking",IF(COUNTIF(Wydatki[[#This Row],[Expenditure]],"*"&amp;"Benzyna"&amp;"*")=1,"Benzyna","Inny wydatek"))</f>
        <v>Parking</v>
      </c>
      <c r="E101" s="25">
        <v>44764</v>
      </c>
      <c r="F101" s="26" t="s">
        <v>152</v>
      </c>
      <c r="G101" s="27" t="str">
        <f t="shared" si="1"/>
        <v/>
      </c>
      <c r="I101" s="36" t="s">
        <v>12</v>
      </c>
      <c r="J101" s="30">
        <f>VLOOKUP(I101,Wydatki[[#All],[Expenditure]:[Data]],3)</f>
        <v>44171</v>
      </c>
      <c r="K101" s="31">
        <f>INDEX(Wydatki[[#All],[Amount]],MATCH(I101,Wydatki[[#All],[Expenditure]],0))</f>
        <v>45</v>
      </c>
    </row>
    <row r="102" spans="1:20" ht="15" customHeight="1" x14ac:dyDescent="0.3">
      <c r="A102" s="6">
        <f>ROW(Wydatki[[#This Row],[Amount]])-8</f>
        <v>94</v>
      </c>
      <c r="B102" s="22">
        <v>114</v>
      </c>
      <c r="C102" s="23" t="s">
        <v>61</v>
      </c>
      <c r="D102" s="23" t="str">
        <f>IF(COUNTIF(Wydatki[[#This Row],[Expenditure]],"*"&amp;"Parking"&amp;"*")=1,"Parking",IF(COUNTIF(Wydatki[[#This Row],[Expenditure]],"*"&amp;"Benzyna"&amp;"*")=1,"Benzyna","Inny wydatek"))</f>
        <v>Benzyna</v>
      </c>
      <c r="E102" s="25">
        <v>44792</v>
      </c>
      <c r="F102" s="26" t="s">
        <v>152</v>
      </c>
      <c r="G102" s="27">
        <f t="shared" si="1"/>
        <v>6.4406779661016955</v>
      </c>
      <c r="I102" s="36" t="s">
        <v>13</v>
      </c>
      <c r="J102" s="30">
        <f>VLOOKUP(I102,Wydatki[[#All],[Expenditure]:[Data]],3)</f>
        <v>45653</v>
      </c>
      <c r="K102" s="31">
        <f>INDEX(Wydatki[[#All],[Amount]],MATCH(I102,Wydatki[[#All],[Expenditure]],0))</f>
        <v>69</v>
      </c>
    </row>
    <row r="103" spans="1:20" ht="15" customHeight="1" x14ac:dyDescent="0.3">
      <c r="A103" s="6">
        <f>ROW(Wydatki[[#This Row],[Amount]])-8</f>
        <v>95</v>
      </c>
      <c r="B103" s="22">
        <v>151</v>
      </c>
      <c r="C103" s="23" t="s">
        <v>62</v>
      </c>
      <c r="D103" s="23" t="str">
        <f>IF(COUNTIF(Wydatki[[#This Row],[Expenditure]],"*"&amp;"Parking"&amp;"*")=1,"Parking",IF(COUNTIF(Wydatki[[#This Row],[Expenditure]],"*"&amp;"Benzyna"&amp;"*")=1,"Benzyna","Inny wydatek"))</f>
        <v>Benzyna</v>
      </c>
      <c r="E103" s="25">
        <v>44805</v>
      </c>
      <c r="F103" s="26" t="s">
        <v>152</v>
      </c>
      <c r="G103" s="27">
        <f t="shared" si="1"/>
        <v>6.4806866952789699</v>
      </c>
      <c r="I103" s="36" t="s">
        <v>18</v>
      </c>
      <c r="J103" s="30">
        <f>VLOOKUP(I103,Wydatki[[#All],[Expenditure]:[Data]],3)</f>
        <v>45653</v>
      </c>
      <c r="K103" s="31">
        <f>INDEX(Wydatki[[#All],[Amount]],MATCH(I103,Wydatki[[#All],[Expenditure]],0))</f>
        <v>181</v>
      </c>
    </row>
    <row r="104" spans="1:20" ht="15" customHeight="1" thickBot="1" x14ac:dyDescent="0.35">
      <c r="A104" s="6">
        <f>ROW(Wydatki[[#This Row],[Amount]])-8</f>
        <v>96</v>
      </c>
      <c r="B104" s="22">
        <v>400</v>
      </c>
      <c r="C104" s="23" t="s">
        <v>63</v>
      </c>
      <c r="D104" s="23" t="str">
        <f>IF(COUNTIF(Wydatki[[#This Row],[Expenditure]],"*"&amp;"Parking"&amp;"*")=1,"Parking",IF(COUNTIF(Wydatki[[#This Row],[Expenditure]],"*"&amp;"Benzyna"&amp;"*")=1,"Benzyna","Inny wydatek"))</f>
        <v>Inny wydatek</v>
      </c>
      <c r="E104" s="25">
        <v>44826</v>
      </c>
      <c r="F104" s="26" t="s">
        <v>153</v>
      </c>
      <c r="G104" s="27" t="str">
        <f t="shared" si="1"/>
        <v/>
      </c>
      <c r="I104" s="37" t="s">
        <v>27</v>
      </c>
      <c r="J104" s="38">
        <f>VLOOKUP(I104,Wydatki[[#All],[Expenditure]:[Data]],3)</f>
        <v>45653</v>
      </c>
      <c r="K104" s="39">
        <f>INDEX(Wydatki[[#All],[Amount]],MATCH(I104,Wydatki[[#All],[Expenditure]],0))</f>
        <v>100</v>
      </c>
    </row>
    <row r="105" spans="1:20" ht="15" customHeight="1" x14ac:dyDescent="0.3">
      <c r="A105" s="6">
        <f>ROW(Wydatki[[#This Row],[Amount]])-8</f>
        <v>97</v>
      </c>
      <c r="B105" s="22">
        <v>20</v>
      </c>
      <c r="C105" s="23" t="s">
        <v>56</v>
      </c>
      <c r="D105" s="23" t="str">
        <f>IF(COUNTIF(Wydatki[[#This Row],[Expenditure]],"*"&amp;"Parking"&amp;"*")=1,"Parking",IF(COUNTIF(Wydatki[[#This Row],[Expenditure]],"*"&amp;"Benzyna"&amp;"*")=1,"Benzyna","Inny wydatek"))</f>
        <v>Parking</v>
      </c>
      <c r="E105" s="25">
        <v>44827</v>
      </c>
      <c r="F105" s="26" t="s">
        <v>152</v>
      </c>
      <c r="G105" s="27" t="str">
        <f t="shared" si="1"/>
        <v/>
      </c>
    </row>
    <row r="106" spans="1:20" ht="15" customHeight="1" x14ac:dyDescent="0.3">
      <c r="A106" s="6">
        <f>ROW(Wydatki[[#This Row],[Amount]])-8</f>
        <v>98</v>
      </c>
      <c r="B106" s="22">
        <v>10</v>
      </c>
      <c r="C106" s="23" t="s">
        <v>64</v>
      </c>
      <c r="D106" s="23" t="str">
        <f>IF(COUNTIF(Wydatki[[#This Row],[Expenditure]],"*"&amp;"Parking"&amp;"*")=1,"Parking",IF(COUNTIF(Wydatki[[#This Row],[Expenditure]],"*"&amp;"Benzyna"&amp;"*")=1,"Benzyna","Inny wydatek"))</f>
        <v>Parking</v>
      </c>
      <c r="E106" s="25">
        <v>44829</v>
      </c>
      <c r="F106" s="26" t="s">
        <v>152</v>
      </c>
      <c r="G106" s="27" t="str">
        <f t="shared" si="1"/>
        <v/>
      </c>
      <c r="I106" s="56" t="s">
        <v>181</v>
      </c>
      <c r="J106" s="56"/>
      <c r="K106" s="56"/>
      <c r="L106" s="56"/>
      <c r="M106" s="56"/>
    </row>
    <row r="107" spans="1:20" ht="15" customHeight="1" x14ac:dyDescent="0.3">
      <c r="A107" s="6">
        <f>ROW(Wydatki[[#This Row],[Amount]])-8</f>
        <v>99</v>
      </c>
      <c r="B107" s="22">
        <v>194</v>
      </c>
      <c r="C107" s="23" t="s">
        <v>29</v>
      </c>
      <c r="D107" s="23" t="str">
        <f>IF(COUNTIF(Wydatki[[#This Row],[Expenditure]],"*"&amp;"Parking"&amp;"*")=1,"Parking",IF(COUNTIF(Wydatki[[#This Row],[Expenditure]],"*"&amp;"Benzyna"&amp;"*")=1,"Benzyna","Inny wydatek"))</f>
        <v>Benzyna</v>
      </c>
      <c r="E107" s="25">
        <v>44829</v>
      </c>
      <c r="F107" s="26" t="s">
        <v>153</v>
      </c>
      <c r="G107" s="27">
        <f t="shared" si="1"/>
        <v>6.237942122186495</v>
      </c>
    </row>
    <row r="108" spans="1:20" ht="15" customHeight="1" x14ac:dyDescent="0.3">
      <c r="A108" s="6">
        <f>ROW(Wydatki[[#This Row],[Amount]])-8</f>
        <v>100</v>
      </c>
      <c r="B108" s="22">
        <v>5</v>
      </c>
      <c r="C108" s="23" t="s">
        <v>65</v>
      </c>
      <c r="D108" s="23" t="str">
        <f>IF(COUNTIF(Wydatki[[#This Row],[Expenditure]],"*"&amp;"Parking"&amp;"*")=1,"Parking",IF(COUNTIF(Wydatki[[#This Row],[Expenditure]],"*"&amp;"Benzyna"&amp;"*")=1,"Benzyna","Inny wydatek"))</f>
        <v>Parking</v>
      </c>
      <c r="E108" s="25">
        <v>44850</v>
      </c>
      <c r="F108" s="26" t="s">
        <v>152</v>
      </c>
      <c r="G108" s="27" t="str">
        <f t="shared" si="1"/>
        <v/>
      </c>
      <c r="I108" s="5" t="s">
        <v>172</v>
      </c>
      <c r="J108" s="5" t="s">
        <v>173</v>
      </c>
      <c r="K108" s="5" t="s">
        <v>171</v>
      </c>
      <c r="L108" s="5" t="s">
        <v>0</v>
      </c>
      <c r="M108" s="5" t="s">
        <v>175</v>
      </c>
    </row>
    <row r="109" spans="1:20" ht="15" customHeight="1" x14ac:dyDescent="0.3">
      <c r="A109" s="6">
        <f>ROW(Wydatki[[#This Row],[Amount]])-8</f>
        <v>101</v>
      </c>
      <c r="B109" s="22">
        <v>111</v>
      </c>
      <c r="C109" s="23" t="s">
        <v>66</v>
      </c>
      <c r="D109" s="23" t="str">
        <f>IF(COUNTIF(Wydatki[[#This Row],[Expenditure]],"*"&amp;"Parking"&amp;"*")=1,"Parking",IF(COUNTIF(Wydatki[[#This Row],[Expenditure]],"*"&amp;"Benzyna"&amp;"*")=1,"Benzyna","Inny wydatek"))</f>
        <v>Benzyna</v>
      </c>
      <c r="E109" s="25">
        <v>44852</v>
      </c>
      <c r="F109" s="26" t="s">
        <v>152</v>
      </c>
      <c r="G109" s="27">
        <f t="shared" si="1"/>
        <v>6.8098159509202452</v>
      </c>
      <c r="I109" s="28"/>
      <c r="J109" s="28"/>
      <c r="K109" s="29" t="str">
        <f>"OC"</f>
        <v>OC</v>
      </c>
      <c r="L109" s="28"/>
      <c r="M109" s="29"/>
    </row>
    <row r="110" spans="1:20" ht="15" customHeight="1" thickBot="1" x14ac:dyDescent="0.35">
      <c r="A110" s="6">
        <f>ROW(Wydatki[[#This Row],[Amount]])-8</f>
        <v>102</v>
      </c>
      <c r="B110" s="22">
        <v>10</v>
      </c>
      <c r="C110" s="23" t="s">
        <v>64</v>
      </c>
      <c r="D110" s="23" t="str">
        <f>IF(COUNTIF(Wydatki[[#This Row],[Expenditure]],"*"&amp;"Parking"&amp;"*")=1,"Parking",IF(COUNTIF(Wydatki[[#This Row],[Expenditure]],"*"&amp;"Benzyna"&amp;"*")=1,"Benzyna","Inny wydatek"))</f>
        <v>Parking</v>
      </c>
      <c r="E110" s="25">
        <v>44864</v>
      </c>
      <c r="F110" s="26" t="s">
        <v>152</v>
      </c>
      <c r="G110" s="27" t="str">
        <f t="shared" si="1"/>
        <v/>
      </c>
    </row>
    <row r="111" spans="1:20" ht="15" customHeight="1" x14ac:dyDescent="0.3">
      <c r="A111" s="6">
        <f>ROW(Wydatki[[#This Row],[Amount]])-8</f>
        <v>103</v>
      </c>
      <c r="B111" s="22">
        <v>10</v>
      </c>
      <c r="C111" s="23" t="s">
        <v>64</v>
      </c>
      <c r="D111" s="23" t="str">
        <f>IF(COUNTIF(Wydatki[[#This Row],[Expenditure]],"*"&amp;"Parking"&amp;"*")=1,"Parking",IF(COUNTIF(Wydatki[[#This Row],[Expenditure]],"*"&amp;"Benzyna"&amp;"*")=1,"Benzyna","Inny wydatek"))</f>
        <v>Parking</v>
      </c>
      <c r="E111" s="25">
        <v>44865</v>
      </c>
      <c r="F111" s="26" t="s">
        <v>152</v>
      </c>
      <c r="G111" s="27" t="str">
        <f t="shared" si="1"/>
        <v/>
      </c>
      <c r="I111" s="7" t="s">
        <v>172</v>
      </c>
      <c r="J111" s="8" t="s">
        <v>173</v>
      </c>
      <c r="K111" s="8" t="s">
        <v>171</v>
      </c>
      <c r="L111" s="8" t="s">
        <v>0</v>
      </c>
      <c r="M111" s="15" t="s">
        <v>175</v>
      </c>
      <c r="N111" s="15" t="s">
        <v>182</v>
      </c>
      <c r="O111" s="15" t="s">
        <v>183</v>
      </c>
      <c r="P111" s="15" t="s">
        <v>184</v>
      </c>
      <c r="Q111" s="15" t="s">
        <v>185</v>
      </c>
      <c r="R111" s="15" t="s">
        <v>186</v>
      </c>
      <c r="S111" s="9" t="s">
        <v>187</v>
      </c>
    </row>
    <row r="112" spans="1:20" ht="15" customHeight="1" x14ac:dyDescent="0.3">
      <c r="A112" s="6">
        <f>ROW(Wydatki[[#This Row],[Amount]])-8</f>
        <v>104</v>
      </c>
      <c r="B112" s="22">
        <v>198</v>
      </c>
      <c r="C112" s="23" t="s">
        <v>67</v>
      </c>
      <c r="D112" s="23" t="str">
        <f>IF(COUNTIF(Wydatki[[#This Row],[Expenditure]],"*"&amp;"Parking"&amp;"*")=1,"Parking",IF(COUNTIF(Wydatki[[#This Row],[Expenditure]],"*"&amp;"Benzyna"&amp;"*")=1,"Benzyna","Inny wydatek"))</f>
        <v>Benzyna</v>
      </c>
      <c r="E112" s="25">
        <v>44866</v>
      </c>
      <c r="F112" s="26" t="s">
        <v>152</v>
      </c>
      <c r="G112" s="27">
        <f t="shared" si="1"/>
        <v>6.4705882352941178</v>
      </c>
      <c r="I112" s="10">
        <v>11</v>
      </c>
      <c r="J112" s="28">
        <v>1013</v>
      </c>
      <c r="K112" s="28" t="s">
        <v>131</v>
      </c>
      <c r="L112" s="30">
        <v>44168</v>
      </c>
      <c r="M112" s="28"/>
      <c r="N112" s="23" t="str">
        <f>IF(ISERR(MID(K112,1,FIND("+",K112)-2)),MID(K112,1,99),MID(K112,1,FIND("+",K112)-2))</f>
        <v>OC Komfort</v>
      </c>
      <c r="O112" s="40" t="str">
        <f>IF(ISERR(MID(K112,LEN(N112)+4,FIND("+",MID(K112,LEN(N112)+4,99))-2)),MID(K112,LEN(N112)+4,99),MID(K112,LEN(N112)+4,FIND("+",MID(K112,LEN(N112)+4,99))-2))</f>
        <v>Moto-Assistance Złoty</v>
      </c>
      <c r="P112" s="40" t="str">
        <f>IF(ISERR(MID(K112,LEN(O112)+LEN(N112)+7,FIND("+",MID(K112,LEN(O112)+LEN(N112)+7,99))-2)),MID(K112,LEN(O112)+LEN(N112)+7,99),MID(K112,LEN(O112)+LEN(N112)+7,FIND("+",MID(K112,LEN(O112)+LEN(N112)+7,99))-2))</f>
        <v>Auto-szyby</v>
      </c>
      <c r="Q112" s="40" t="str">
        <f>IF(ISERR(MID(K112,LEN(O112)+LEN(N112)+LEN(P112)+10,FIND("+",MID(K112,LEN(O112)+LEN(N112)+LEN(P112)+10,99))-2)),MID(K112,LEN(O112)+LEN(N112)+LEN(P112)+10,99),MID(K112,LEN(O112)+LEN(N112)+LEN(P112)+10,FIND("+",MID(K112,LEN(O112)+LEN(N112)+LEN(P112)+10,99))-2))</f>
        <v>OC Szybka wypłata</v>
      </c>
      <c r="R112" s="40" t="str">
        <f>IF(ISERR(MID(K112,LEN(O112)+LEN(N112)+LEN(P112)+LEN(Q112)+13,FIND("+",MID(K112,LEN(O112)+LEN(N112)+LEN(P112)+LEN(Q112)+13,99))-2)),MID(K112,LEN(O112)+LEN(N112)+LEN(P112)+LEN(Q112)+13,99),MID(K112,LEN(O112)+LEN(N112)+LEN(P112)+LEN(Q112)+13,FIND("+",MID(K112,LEN(O112)+LEN(N112)+LEN(P112)+LEN(Q112)+13,99))-2))</f>
        <v/>
      </c>
      <c r="S112" s="41" t="str">
        <f>IF(ISERR(MID(K112,LEN(O112)+LEN(N112)+LEN(P112)+LEN(Q112)+LEN(R112)+16,FIND("+",MID(K112,LEN(O112)+LEN(N112)+LEN(P112)+LEN(Q112)+LEN(R112)+16,99))-2)),MID(K112,LEN(O112)+LEN(N112)+LEN(P112)+LEN(Q112)+LEN(R112)+16,99),MID(K112,LEN(O112)+LEN(N112)+LEN(P112)+LEN(Q112)+LEN(R112)+16,FIND("+",MID(K112,LEN(O112)+LEN(N112)+LEN(P112)+LEN(Q112)+LEN(R112)+16,99))-2))</f>
        <v/>
      </c>
      <c r="T112" s="42"/>
    </row>
    <row r="113" spans="1:20" ht="15" customHeight="1" x14ac:dyDescent="0.3">
      <c r="A113" s="6">
        <f>ROW(Wydatki[[#This Row],[Amount]])-8</f>
        <v>105</v>
      </c>
      <c r="B113" s="22">
        <v>60</v>
      </c>
      <c r="C113" s="23" t="s">
        <v>68</v>
      </c>
      <c r="D113" s="23" t="str">
        <f>IF(COUNTIF(Wydatki[[#This Row],[Expenditure]],"*"&amp;"Parking"&amp;"*")=1,"Parking",IF(COUNTIF(Wydatki[[#This Row],[Expenditure]],"*"&amp;"Benzyna"&amp;"*")=1,"Benzyna","Inny wydatek"))</f>
        <v>Inny wydatek</v>
      </c>
      <c r="E113" s="25">
        <v>44870</v>
      </c>
      <c r="F113" s="26" t="s">
        <v>152</v>
      </c>
      <c r="G113" s="27" t="str">
        <f t="shared" si="1"/>
        <v/>
      </c>
      <c r="I113" s="10">
        <v>54</v>
      </c>
      <c r="J113" s="28">
        <v>1014</v>
      </c>
      <c r="K113" s="28" t="s">
        <v>132</v>
      </c>
      <c r="L113" s="30">
        <v>44517</v>
      </c>
      <c r="M113" s="28"/>
      <c r="N113" s="23" t="str">
        <f t="shared" ref="N113:N115" si="2">IF(ISERR(MID(K113,1,FIND("+",K113)-2)),MID(K113,1,99),MID(K113,1,FIND("+",K113)-2))</f>
        <v>OC Komfort</v>
      </c>
      <c r="O113" s="40" t="str">
        <f t="shared" ref="O113:O115" si="3">IF(ISERR(MID(K113,LEN(N113)+4,FIND("+",MID(K113,LEN(N113)+4,99))-2)),MID(K113,LEN(N113)+4,99),MID(K113,LEN(N113)+4,FIND("+",MID(K113,LEN(N113)+4,99))-2))</f>
        <v>Warta NNW</v>
      </c>
      <c r="P113" s="40" t="str">
        <f t="shared" ref="P113:P115" si="4">IF(ISERR(MID(K113,LEN(O113)+LEN(N113)+7,FIND("+",MID(K113,LEN(O113)+LEN(N113)+7,99))-2)),MID(K113,LEN(O113)+LEN(N113)+7,99),MID(K113,LEN(O113)+LEN(N113)+7,FIND("+",MID(K113,LEN(O113)+LEN(N113)+7,99))-2))</f>
        <v>Moto-Assistance Złoty</v>
      </c>
      <c r="Q113" s="40" t="str">
        <f t="shared" ref="Q113:Q115" si="5">IF(ISERR(MID(K113,LEN(O113)+LEN(N113)+LEN(P113)+10,FIND("+",MID(K113,LEN(O113)+LEN(N113)+LEN(P113)+10,99))-2)),MID(K113,LEN(O113)+LEN(N113)+LEN(P113)+10,99),MID(K113,LEN(O113)+LEN(N113)+LEN(P113)+10,FIND("+",MID(K113,LEN(O113)+LEN(N113)+LEN(P113)+10,99))-2))</f>
        <v>Auto-szyby</v>
      </c>
      <c r="R113" s="40" t="str">
        <f>IF(ISERR(MID(K113,LEN(O113)+LEN(N113)+LEN(P113)+LEN(Q113)+13,FIND("+",MID(K113,LEN(O113)+LEN(N113)+LEN(P113)+LEN(Q113)+13,99))-2)),MID(K113,LEN(O113)+LEN(N113)+LEN(P113)+LEN(Q113)+13,99),MID(K113,LEN(O113)+LEN(N113)+LEN(P113)+LEN(Q113)+13,FIND("+",MID(K113,LEN(O113)+LEN(N113)+LEN(P113)+LEN(Q113)+13,99))-2))</f>
        <v>OC Szybka wypłata</v>
      </c>
      <c r="S113" s="41" t="str">
        <f t="shared" ref="S113:S115" si="6">IF(ISERR(MID(K113,LEN(O113)+LEN(N113)+LEN(P113)+LEN(Q113)+LEN(R113)+16,FIND("+",MID(K113,LEN(O113)+LEN(N113)+LEN(P113)+LEN(Q113)+LEN(R113)+16,99))-2)),MID(K113,LEN(O113)+LEN(N113)+LEN(P113)+LEN(Q113)+LEN(R113)+16,99),MID(K113,LEN(O113)+LEN(N113)+LEN(P113)+LEN(Q113)+LEN(R113)+16,FIND("+",MID(K113,LEN(O113)+LEN(N113)+LEN(P113)+LEN(Q113)+LEN(R113)+16,99))-2))</f>
        <v/>
      </c>
      <c r="T113" s="43"/>
    </row>
    <row r="114" spans="1:20" ht="15" customHeight="1" x14ac:dyDescent="0.3">
      <c r="A114" s="6">
        <f>ROW(Wydatki[[#This Row],[Amount]])-8</f>
        <v>106</v>
      </c>
      <c r="B114" s="22">
        <v>10</v>
      </c>
      <c r="C114" s="23" t="s">
        <v>64</v>
      </c>
      <c r="D114" s="23" t="str">
        <f>IF(COUNTIF(Wydatki[[#This Row],[Expenditure]],"*"&amp;"Parking"&amp;"*")=1,"Parking",IF(COUNTIF(Wydatki[[#This Row],[Expenditure]],"*"&amp;"Benzyna"&amp;"*")=1,"Benzyna","Inny wydatek"))</f>
        <v>Parking</v>
      </c>
      <c r="E114" s="25">
        <v>44871</v>
      </c>
      <c r="F114" s="26" t="s">
        <v>152</v>
      </c>
      <c r="G114" s="27" t="str">
        <f t="shared" si="1"/>
        <v/>
      </c>
      <c r="I114" s="10">
        <v>112</v>
      </c>
      <c r="J114" s="23">
        <v>835</v>
      </c>
      <c r="K114" s="23" t="s">
        <v>160</v>
      </c>
      <c r="L114" s="33">
        <v>44896</v>
      </c>
      <c r="M114" s="28"/>
      <c r="N114" s="23" t="str">
        <f t="shared" si="2"/>
        <v>OC</v>
      </c>
      <c r="O114" s="40" t="str">
        <f t="shared" si="3"/>
        <v>Holowanie pojazdu</v>
      </c>
      <c r="P114" s="40" t="str">
        <f t="shared" si="4"/>
        <v>Szyby</v>
      </c>
      <c r="Q114" s="40" t="str">
        <f t="shared" si="5"/>
        <v>Telefoniczny Asystent Prawny</v>
      </c>
      <c r="R114" s="40" t="str">
        <f>IF(ISERR(MID(K114,LEN(O114)+LEN(N114)+LEN(P114)+LEN(Q114)+13,FIND("+",MID(K114,LEN(O114)+LEN(N114)+LEN(P114)+LEN(Q114)+13,99))-2)),MID(K114,LEN(O114)+LEN(N114)+LEN(P114)+LEN(Q114)+13,99),MID(K114,LEN(O114)+LEN(N114)+LEN(P114)+LEN(Q114)+13,FIND("+",MID(K114,LEN(O114)+LEN(N114)+LEN(P114)+LEN(Q114)+13,99))-2))</f>
        <v>Car Assistance - Wypadek</v>
      </c>
      <c r="S114" s="41" t="str">
        <f t="shared" si="6"/>
        <v>Car Assistance - Awaria_1</v>
      </c>
      <c r="T114" s="43"/>
    </row>
    <row r="115" spans="1:20" ht="15" customHeight="1" x14ac:dyDescent="0.3">
      <c r="A115" s="6">
        <f>ROW(Wydatki[[#This Row],[Amount]])-8</f>
        <v>107</v>
      </c>
      <c r="B115" s="22">
        <v>180</v>
      </c>
      <c r="C115" s="23" t="s">
        <v>20</v>
      </c>
      <c r="D115" s="23" t="str">
        <f>IF(COUNTIF(Wydatki[[#This Row],[Expenditure]],"*"&amp;"Parking"&amp;"*")=1,"Parking",IF(COUNTIF(Wydatki[[#This Row],[Expenditure]],"*"&amp;"Benzyna"&amp;"*")=1,"Benzyna","Inny wydatek"))</f>
        <v>Benzyna</v>
      </c>
      <c r="E115" s="25">
        <v>44878</v>
      </c>
      <c r="F115" s="26" t="s">
        <v>152</v>
      </c>
      <c r="G115" s="27">
        <f t="shared" si="1"/>
        <v>6.5217391304347823</v>
      </c>
      <c r="I115" s="10">
        <v>163</v>
      </c>
      <c r="J115" s="28">
        <v>1162</v>
      </c>
      <c r="K115" s="28" t="s">
        <v>159</v>
      </c>
      <c r="L115" s="30">
        <v>45238</v>
      </c>
      <c r="M115" s="28"/>
      <c r="N115" s="23" t="str">
        <f t="shared" si="2"/>
        <v>OC</v>
      </c>
      <c r="O115" s="40" t="str">
        <f t="shared" si="3"/>
        <v>Holowanie pojazdu</v>
      </c>
      <c r="P115" s="40" t="str">
        <f t="shared" si="4"/>
        <v>Szyby</v>
      </c>
      <c r="Q115" s="40" t="str">
        <f t="shared" si="5"/>
        <v>Telefoniczny Asystent Prawny</v>
      </c>
      <c r="R115" s="40" t="str">
        <f>IF(ISERR(MID(K115,LEN(O115)+LEN(N115)+LEN(P115)+LEN(Q115)+13,FIND("+",MID(K115,LEN(O115)+LEN(N115)+LEN(P115)+LEN(Q115)+13,99))-2)),MID(K115,LEN(O115)+LEN(N115)+LEN(P115)+LEN(Q115)+13,99),MID(K115,LEN(O115)+LEN(N115)+LEN(P115)+LEN(Q115)+13,FIND("+",MID(K115,LEN(O115)+LEN(N115)+LEN(P115)+LEN(Q115)+13,99))-2))</f>
        <v>Car Assistance - Wypadek</v>
      </c>
      <c r="S115" s="41" t="str">
        <f t="shared" si="6"/>
        <v>Car Assistance - Awaria_2</v>
      </c>
      <c r="T115" s="43"/>
    </row>
    <row r="116" spans="1:20" ht="15" customHeight="1" thickBot="1" x14ac:dyDescent="0.35">
      <c r="A116" s="6">
        <f>ROW(Wydatki[[#This Row],[Amount]])-8</f>
        <v>108</v>
      </c>
      <c r="B116" s="22">
        <v>10</v>
      </c>
      <c r="C116" s="23" t="s">
        <v>64</v>
      </c>
      <c r="D116" s="23" t="str">
        <f>IF(COUNTIF(Wydatki[[#This Row],[Expenditure]],"*"&amp;"Parking"&amp;"*")=1,"Parking",IF(COUNTIF(Wydatki[[#This Row],[Expenditure]],"*"&amp;"Benzyna"&amp;"*")=1,"Benzyna","Inny wydatek"))</f>
        <v>Parking</v>
      </c>
      <c r="E116" s="25">
        <v>44885</v>
      </c>
      <c r="F116" s="26" t="s">
        <v>152</v>
      </c>
      <c r="G116" s="27" t="str">
        <f t="shared" si="1"/>
        <v/>
      </c>
      <c r="I116" s="12">
        <v>207</v>
      </c>
      <c r="J116" s="44">
        <v>1372</v>
      </c>
      <c r="K116" s="44" t="s">
        <v>158</v>
      </c>
      <c r="L116" s="38">
        <v>45243</v>
      </c>
      <c r="M116" s="44"/>
      <c r="N116" s="34" t="str">
        <f t="shared" ref="N116" si="7">IF(ISERR(MID(K116,1,FIND("+",K116)-2)),MID(K116,1,99),MID(K116,1,FIND("+",K116)-2))</f>
        <v>OC</v>
      </c>
      <c r="O116" s="45" t="str">
        <f t="shared" ref="O116" si="8">IF(ISERR(MID(K116,LEN(N116)+4,FIND("+",MID(K116,LEN(N116)+4,99))-2)),MID(K116,LEN(N116)+4,99),MID(K116,LEN(N116)+4,FIND("+",MID(K116,LEN(N116)+4,99))-2))</f>
        <v>Holowanie pojazdu</v>
      </c>
      <c r="P116" s="45" t="str">
        <f t="shared" ref="P116" si="9">IF(ISERR(MID(K116,LEN(O116)+LEN(N116)+7,FIND("+",MID(K116,LEN(O116)+LEN(N116)+7,99))-2)),MID(K116,LEN(O116)+LEN(N116)+7,99),MID(K116,LEN(O116)+LEN(N116)+7,FIND("+",MID(K116,LEN(O116)+LEN(N116)+7,99))-2))</f>
        <v>Szyby</v>
      </c>
      <c r="Q116" s="45" t="str">
        <f t="shared" ref="Q116" si="10">IF(ISERR(MID(K116,LEN(O116)+LEN(N116)+LEN(P116)+10,FIND("+",MID(K116,LEN(O116)+LEN(N116)+LEN(P116)+10,99))-2)),MID(K116,LEN(O116)+LEN(N116)+LEN(P116)+10,99),MID(K116,LEN(O116)+LEN(N116)+LEN(P116)+10,FIND("+",MID(K116,LEN(O116)+LEN(N116)+LEN(P116)+10,99))-2))</f>
        <v>Telefoniczny Asystent Prawny</v>
      </c>
      <c r="R116" s="45" t="str">
        <f>IF(ISERR(MID(K116,LEN(O116)+LEN(N116)+LEN(P116)+LEN(Q116)+13,FIND("+",MID(K116,LEN(O116)+LEN(N116)+LEN(P116)+LEN(Q116)+13,99))-2)),MID(K116,LEN(O116)+LEN(N116)+LEN(P116)+LEN(Q116)+13,99),MID(K116,LEN(O116)+LEN(N116)+LEN(P116)+LEN(Q116)+13,FIND("+",MID(K116,LEN(O116)+LEN(N116)+LEN(P116)+LEN(Q116)+13,99))-2))</f>
        <v>Car Assistance - Wypadek</v>
      </c>
      <c r="S116" s="46" t="str">
        <f t="shared" ref="S116" si="11">IF(ISERR(MID(K116,LEN(O116)+LEN(N116)+LEN(P116)+LEN(Q116)+LEN(R116)+16,FIND("+",MID(K116,LEN(O116)+LEN(N116)+LEN(P116)+LEN(Q116)+LEN(R116)+16,99))-2)),MID(K116,LEN(O116)+LEN(N116)+LEN(P116)+LEN(Q116)+LEN(R116)+16,99),MID(K116,LEN(O116)+LEN(N116)+LEN(P116)+LEN(Q116)+LEN(R116)+16,FIND("+",MID(K116,LEN(O116)+LEN(N116)+LEN(P116)+LEN(Q116)+LEN(R116)+16,99))-2))</f>
        <v>Car Assistance - Awaria_3</v>
      </c>
    </row>
    <row r="117" spans="1:20" ht="15" customHeight="1" x14ac:dyDescent="0.3">
      <c r="A117" s="6">
        <f>ROW(Wydatki[[#This Row],[Amount]])-8</f>
        <v>109</v>
      </c>
      <c r="B117" s="22">
        <v>5</v>
      </c>
      <c r="C117" s="23" t="s">
        <v>65</v>
      </c>
      <c r="D117" s="23" t="str">
        <f>IF(COUNTIF(Wydatki[[#This Row],[Expenditure]],"*"&amp;"Parking"&amp;"*")=1,"Parking",IF(COUNTIF(Wydatki[[#This Row],[Expenditure]],"*"&amp;"Benzyna"&amp;"*")=1,"Benzyna","Inny wydatek"))</f>
        <v>Parking</v>
      </c>
      <c r="E117" s="25">
        <v>44891</v>
      </c>
      <c r="F117" s="26" t="s">
        <v>152</v>
      </c>
      <c r="G117" s="27" t="str">
        <f t="shared" si="1"/>
        <v/>
      </c>
    </row>
    <row r="118" spans="1:20" ht="15" customHeight="1" x14ac:dyDescent="0.3">
      <c r="A118" s="6">
        <f>ROW(Wydatki[[#This Row],[Amount]])-8</f>
        <v>110</v>
      </c>
      <c r="B118" s="22">
        <v>10</v>
      </c>
      <c r="C118" s="23" t="s">
        <v>64</v>
      </c>
      <c r="D118" s="23" t="str">
        <f>IF(COUNTIF(Wydatki[[#This Row],[Expenditure]],"*"&amp;"Parking"&amp;"*")=1,"Parking",IF(COUNTIF(Wydatki[[#This Row],[Expenditure]],"*"&amp;"Benzyna"&amp;"*")=1,"Benzyna","Inny wydatek"))</f>
        <v>Parking</v>
      </c>
      <c r="E118" s="25">
        <v>44892</v>
      </c>
      <c r="F118" s="26" t="s">
        <v>152</v>
      </c>
      <c r="G118" s="27" t="str">
        <f t="shared" si="1"/>
        <v/>
      </c>
      <c r="I118" s="56" t="s">
        <v>188</v>
      </c>
      <c r="J118" s="56"/>
      <c r="K118" s="56"/>
      <c r="L118" s="56"/>
      <c r="M118" s="56"/>
    </row>
    <row r="119" spans="1:20" ht="15" customHeight="1" x14ac:dyDescent="0.3">
      <c r="A119" s="6">
        <f>ROW(Wydatki[[#This Row],[Amount]])-8</f>
        <v>111</v>
      </c>
      <c r="B119" s="22">
        <v>134</v>
      </c>
      <c r="C119" s="23" t="s">
        <v>69</v>
      </c>
      <c r="D119" s="23" t="str">
        <f>IF(COUNTIF(Wydatki[[#This Row],[Expenditure]],"*"&amp;"Parking"&amp;"*")=1,"Parking",IF(COUNTIF(Wydatki[[#This Row],[Expenditure]],"*"&amp;"Benzyna"&amp;"*")=1,"Benzyna","Inny wydatek"))</f>
        <v>Benzyna</v>
      </c>
      <c r="E119" s="25">
        <v>44911</v>
      </c>
      <c r="F119" s="26" t="s">
        <v>152</v>
      </c>
      <c r="G119" s="27">
        <f t="shared" si="1"/>
        <v>6.4423076923076925</v>
      </c>
    </row>
    <row r="120" spans="1:20" ht="15" customHeight="1" x14ac:dyDescent="0.35">
      <c r="A120" s="6">
        <f>ROW(Wydatki[[#This Row],[Amount]])-8</f>
        <v>112</v>
      </c>
      <c r="B120" s="22">
        <v>835</v>
      </c>
      <c r="C120" s="23" t="s">
        <v>160</v>
      </c>
      <c r="D120" s="23" t="str">
        <f>IF(COUNTIF(Wydatki[[#This Row],[Expenditure]],"*"&amp;"Parking"&amp;"*")=1,"Parking",IF(COUNTIF(Wydatki[[#This Row],[Expenditure]],"*"&amp;"Benzyna"&amp;"*")=1,"Benzyna","Inny wydatek"))</f>
        <v>Inny wydatek</v>
      </c>
      <c r="E120" s="25">
        <v>44896</v>
      </c>
      <c r="F120" s="26" t="s">
        <v>152</v>
      </c>
      <c r="G120" s="27" t="str">
        <f t="shared" si="1"/>
        <v/>
      </c>
      <c r="I120" s="60" t="s">
        <v>189</v>
      </c>
      <c r="J120" s="61" t="s">
        <v>190</v>
      </c>
      <c r="K120" s="61" t="s">
        <v>191</v>
      </c>
    </row>
    <row r="121" spans="1:20" ht="15" customHeight="1" x14ac:dyDescent="0.35">
      <c r="A121" s="6">
        <f>ROW(Wydatki[[#This Row],[Amount]])-8</f>
        <v>113</v>
      </c>
      <c r="B121" s="22">
        <v>127</v>
      </c>
      <c r="C121" s="23" t="s">
        <v>70</v>
      </c>
      <c r="D121" s="23" t="str">
        <f>IF(COUNTIF(Wydatki[[#This Row],[Expenditure]],"*"&amp;"Parking"&amp;"*")=1,"Parking",IF(COUNTIF(Wydatki[[#This Row],[Expenditure]],"*"&amp;"Benzyna"&amp;"*")=1,"Benzyna","Inny wydatek"))</f>
        <v>Benzyna</v>
      </c>
      <c r="E121" s="25">
        <v>44922</v>
      </c>
      <c r="F121" s="26" t="s">
        <v>152</v>
      </c>
      <c r="G121" s="27">
        <f t="shared" si="1"/>
        <v>6.5128205128205128</v>
      </c>
      <c r="I121" s="62" t="s">
        <v>127</v>
      </c>
      <c r="J121" s="63">
        <v>12856</v>
      </c>
      <c r="K121" s="63">
        <v>153.04761904761904</v>
      </c>
    </row>
    <row r="122" spans="1:20" ht="15" customHeight="1" x14ac:dyDescent="0.35">
      <c r="A122" s="6">
        <f>ROW(Wydatki[[#This Row],[Amount]])-8</f>
        <v>114</v>
      </c>
      <c r="B122" s="22">
        <v>5</v>
      </c>
      <c r="C122" s="23" t="s">
        <v>64</v>
      </c>
      <c r="D122" s="23" t="str">
        <f>IF(COUNTIF(Wydatki[[#This Row],[Expenditure]],"*"&amp;"Parking"&amp;"*")=1,"Parking",IF(COUNTIF(Wydatki[[#This Row],[Expenditure]],"*"&amp;"Benzyna"&amp;"*")=1,"Benzyna","Inny wydatek"))</f>
        <v>Parking</v>
      </c>
      <c r="E122" s="25">
        <v>44923</v>
      </c>
      <c r="F122" s="26" t="s">
        <v>152</v>
      </c>
      <c r="G122" s="27" t="str">
        <f t="shared" si="1"/>
        <v/>
      </c>
      <c r="I122" s="62" t="s">
        <v>133</v>
      </c>
      <c r="J122" s="63">
        <v>22216</v>
      </c>
      <c r="K122" s="63">
        <v>396.71428571428572</v>
      </c>
    </row>
    <row r="123" spans="1:20" ht="15" customHeight="1" x14ac:dyDescent="0.35">
      <c r="A123" s="6">
        <f>ROW(Wydatki[[#This Row],[Amount]])-8</f>
        <v>115</v>
      </c>
      <c r="B123" s="22">
        <v>5</v>
      </c>
      <c r="C123" s="23" t="s">
        <v>65</v>
      </c>
      <c r="D123" s="23" t="str">
        <f>IF(COUNTIF(Wydatki[[#This Row],[Expenditure]],"*"&amp;"Parking"&amp;"*")=1,"Parking",IF(COUNTIF(Wydatki[[#This Row],[Expenditure]],"*"&amp;"Benzyna"&amp;"*")=1,"Benzyna","Inny wydatek"))</f>
        <v>Parking</v>
      </c>
      <c r="E123" s="25">
        <v>44940</v>
      </c>
      <c r="F123" s="26" t="s">
        <v>152</v>
      </c>
      <c r="G123" s="27" t="str">
        <f t="shared" si="1"/>
        <v/>
      </c>
      <c r="I123" s="62" t="s">
        <v>50</v>
      </c>
      <c r="J123" s="63">
        <v>1389</v>
      </c>
      <c r="K123" s="63">
        <v>18.038961038961038</v>
      </c>
    </row>
    <row r="124" spans="1:20" ht="15" customHeight="1" x14ac:dyDescent="0.35">
      <c r="A124" s="6">
        <f>ROW(Wydatki[[#This Row],[Amount]])-8</f>
        <v>116</v>
      </c>
      <c r="B124" s="22">
        <v>10</v>
      </c>
      <c r="C124" s="23" t="s">
        <v>64</v>
      </c>
      <c r="D124" s="23" t="str">
        <f>IF(COUNTIF(Wydatki[[#This Row],[Expenditure]],"*"&amp;"Parking"&amp;"*")=1,"Parking",IF(COUNTIF(Wydatki[[#This Row],[Expenditure]],"*"&amp;"Benzyna"&amp;"*")=1,"Benzyna","Inny wydatek"))</f>
        <v>Parking</v>
      </c>
      <c r="E124" s="25">
        <v>44941</v>
      </c>
      <c r="F124" s="26" t="s">
        <v>152</v>
      </c>
      <c r="G124" s="27" t="str">
        <f t="shared" si="1"/>
        <v/>
      </c>
      <c r="I124" s="62" t="s">
        <v>134</v>
      </c>
      <c r="J124" s="63">
        <v>36461</v>
      </c>
      <c r="K124" s="63">
        <v>168.02304147465438</v>
      </c>
      <c r="L124" s="43"/>
    </row>
    <row r="125" spans="1:20" ht="15" customHeight="1" x14ac:dyDescent="0.3">
      <c r="A125" s="6">
        <f>ROW(Wydatki[[#This Row],[Amount]])-8</f>
        <v>117</v>
      </c>
      <c r="B125" s="22">
        <v>10</v>
      </c>
      <c r="C125" s="23" t="s">
        <v>64</v>
      </c>
      <c r="D125" s="23" t="str">
        <f>IF(COUNTIF(Wydatki[[#This Row],[Expenditure]],"*"&amp;"Parking"&amp;"*")=1,"Parking",IF(COUNTIF(Wydatki[[#This Row],[Expenditure]],"*"&amp;"Benzyna"&amp;"*")=1,"Benzyna","Inny wydatek"))</f>
        <v>Parking</v>
      </c>
      <c r="E125" s="25">
        <v>44948</v>
      </c>
      <c r="F125" s="26" t="s">
        <v>152</v>
      </c>
      <c r="G125" s="27" t="str">
        <f t="shared" si="1"/>
        <v/>
      </c>
      <c r="I125" s="43"/>
      <c r="J125" s="43"/>
      <c r="K125" s="43"/>
      <c r="L125" s="43"/>
    </row>
    <row r="126" spans="1:20" ht="15" customHeight="1" x14ac:dyDescent="0.3">
      <c r="A126" s="6">
        <f>ROW(Wydatki[[#This Row],[Amount]])-8</f>
        <v>118</v>
      </c>
      <c r="B126" s="22">
        <v>196</v>
      </c>
      <c r="C126" s="23" t="s">
        <v>71</v>
      </c>
      <c r="D126" s="23" t="str">
        <f>IF(COUNTIF(Wydatki[[#This Row],[Expenditure]],"*"&amp;"Parking"&amp;"*")=1,"Parking",IF(COUNTIF(Wydatki[[#This Row],[Expenditure]],"*"&amp;"Benzyna"&amp;"*")=1,"Benzyna","Inny wydatek"))</f>
        <v>Benzyna</v>
      </c>
      <c r="E126" s="25">
        <v>44949</v>
      </c>
      <c r="F126" s="26" t="s">
        <v>153</v>
      </c>
      <c r="G126" s="27">
        <f t="shared" si="1"/>
        <v>6.4473684210526319</v>
      </c>
      <c r="I126" s="47" t="s">
        <v>192</v>
      </c>
      <c r="J126" s="43" t="s">
        <v>190</v>
      </c>
      <c r="K126" s="43" t="s">
        <v>191</v>
      </c>
      <c r="L126" s="43"/>
    </row>
    <row r="127" spans="1:20" ht="15" customHeight="1" x14ac:dyDescent="0.3">
      <c r="A127" s="6">
        <f>ROW(Wydatki[[#This Row],[Amount]])-8</f>
        <v>119</v>
      </c>
      <c r="B127" s="22">
        <v>10</v>
      </c>
      <c r="C127" s="23" t="s">
        <v>65</v>
      </c>
      <c r="D127" s="23" t="str">
        <f>IF(COUNTIF(Wydatki[[#This Row],[Expenditure]],"*"&amp;"Parking"&amp;"*")=1,"Parking",IF(COUNTIF(Wydatki[[#This Row],[Expenditure]],"*"&amp;"Benzyna"&amp;"*")=1,"Benzyna","Inny wydatek"))</f>
        <v>Parking</v>
      </c>
      <c r="E127" s="25">
        <v>44975</v>
      </c>
      <c r="F127" s="26" t="s">
        <v>153</v>
      </c>
      <c r="G127" s="27" t="str">
        <f t="shared" si="1"/>
        <v/>
      </c>
      <c r="I127" s="43" t="s">
        <v>147</v>
      </c>
      <c r="J127" s="48"/>
      <c r="K127" s="48"/>
      <c r="L127" s="43"/>
    </row>
    <row r="128" spans="1:20" ht="15" customHeight="1" x14ac:dyDescent="0.3">
      <c r="A128" s="6">
        <f>ROW(Wydatki[[#This Row],[Amount]])-8</f>
        <v>120</v>
      </c>
      <c r="B128" s="22">
        <v>199</v>
      </c>
      <c r="C128" s="23" t="s">
        <v>72</v>
      </c>
      <c r="D128" s="23" t="str">
        <f>IF(COUNTIF(Wydatki[[#This Row],[Expenditure]],"*"&amp;"Parking"&amp;"*")=1,"Parking",IF(COUNTIF(Wydatki[[#This Row],[Expenditure]],"*"&amp;"Benzyna"&amp;"*")=1,"Benzyna","Inny wydatek"))</f>
        <v>Benzyna</v>
      </c>
      <c r="E128" s="25">
        <v>44975</v>
      </c>
      <c r="F128" s="26" t="s">
        <v>152</v>
      </c>
      <c r="G128" s="27" t="str">
        <f t="shared" si="1"/>
        <v/>
      </c>
      <c r="I128" s="49" t="s">
        <v>145</v>
      </c>
      <c r="J128" s="48">
        <v>12098</v>
      </c>
      <c r="K128" s="48">
        <v>2016.3333333333333</v>
      </c>
      <c r="O128" s="43"/>
    </row>
    <row r="129" spans="1:16" ht="15" customHeight="1" x14ac:dyDescent="0.3">
      <c r="A129" s="6">
        <f>ROW(Wydatki[[#This Row],[Amount]])-8</f>
        <v>121</v>
      </c>
      <c r="B129" s="22">
        <v>6</v>
      </c>
      <c r="C129" s="23" t="s">
        <v>65</v>
      </c>
      <c r="D129" s="23" t="str">
        <f>IF(COUNTIF(Wydatki[[#This Row],[Expenditure]],"*"&amp;"Parking"&amp;"*")=1,"Parking",IF(COUNTIF(Wydatki[[#This Row],[Expenditure]],"*"&amp;"Benzyna"&amp;"*")=1,"Benzyna","Inny wydatek"))</f>
        <v>Parking</v>
      </c>
      <c r="E129" s="25">
        <v>44976</v>
      </c>
      <c r="F129" s="26" t="s">
        <v>152</v>
      </c>
      <c r="G129" s="27" t="str">
        <f t="shared" si="1"/>
        <v/>
      </c>
      <c r="I129" s="49" t="s">
        <v>146</v>
      </c>
      <c r="J129" s="48">
        <v>1865</v>
      </c>
      <c r="K129" s="48">
        <v>207.22222222222223</v>
      </c>
      <c r="O129" s="43"/>
      <c r="P129" s="43"/>
    </row>
    <row r="130" spans="1:16" ht="15" customHeight="1" x14ac:dyDescent="0.3">
      <c r="A130" s="6">
        <f>ROW(Wydatki[[#This Row],[Amount]])-8</f>
        <v>122</v>
      </c>
      <c r="B130" s="22">
        <v>30</v>
      </c>
      <c r="C130" s="23" t="s">
        <v>56</v>
      </c>
      <c r="D130" s="23" t="str">
        <f>IF(COUNTIF(Wydatki[[#This Row],[Expenditure]],"*"&amp;"Parking"&amp;"*")=1,"Parking",IF(COUNTIF(Wydatki[[#This Row],[Expenditure]],"*"&amp;"Benzyna"&amp;"*")=1,"Benzyna","Inny wydatek"))</f>
        <v>Parking</v>
      </c>
      <c r="E130" s="25">
        <v>44993</v>
      </c>
      <c r="F130" s="26" t="s">
        <v>152</v>
      </c>
      <c r="G130" s="27" t="str">
        <f t="shared" si="1"/>
        <v/>
      </c>
      <c r="I130" s="43" t="s">
        <v>148</v>
      </c>
      <c r="J130" s="48"/>
      <c r="K130" s="48"/>
      <c r="L130" s="43"/>
      <c r="O130" s="43"/>
      <c r="P130" s="43"/>
    </row>
    <row r="131" spans="1:16" ht="15" customHeight="1" x14ac:dyDescent="0.3">
      <c r="A131" s="6">
        <f>ROW(Wydatki[[#This Row],[Amount]])-8</f>
        <v>123</v>
      </c>
      <c r="B131" s="22">
        <v>145</v>
      </c>
      <c r="C131" s="23" t="s">
        <v>73</v>
      </c>
      <c r="D131" s="23" t="str">
        <f>IF(COUNTIF(Wydatki[[#This Row],[Expenditure]],"*"&amp;"Parking"&amp;"*")=1,"Parking",IF(COUNTIF(Wydatki[[#This Row],[Expenditure]],"*"&amp;"Benzyna"&amp;"*")=1,"Benzyna","Inny wydatek"))</f>
        <v>Benzyna</v>
      </c>
      <c r="E131" s="25">
        <v>44999</v>
      </c>
      <c r="F131" s="26" t="s">
        <v>152</v>
      </c>
      <c r="G131" s="27">
        <f t="shared" si="1"/>
        <v>6.6513761467889907</v>
      </c>
      <c r="I131" s="49" t="s">
        <v>135</v>
      </c>
      <c r="J131" s="48">
        <v>524</v>
      </c>
      <c r="K131" s="48">
        <v>174.66666666666666</v>
      </c>
      <c r="L131" s="43"/>
      <c r="O131" s="43"/>
    </row>
    <row r="132" spans="1:16" ht="15" customHeight="1" x14ac:dyDescent="0.3">
      <c r="A132" s="6">
        <f>ROW(Wydatki[[#This Row],[Amount]])-8</f>
        <v>124</v>
      </c>
      <c r="B132" s="22">
        <v>139</v>
      </c>
      <c r="C132" s="23" t="s">
        <v>74</v>
      </c>
      <c r="D132" s="23" t="str">
        <f>IF(COUNTIF(Wydatki[[#This Row],[Expenditure]],"*"&amp;"Parking"&amp;"*")=1,"Parking",IF(COUNTIF(Wydatki[[#This Row],[Expenditure]],"*"&amp;"Benzyna"&amp;"*")=1,"Benzyna","Inny wydatek"))</f>
        <v>Benzyna</v>
      </c>
      <c r="E132" s="25">
        <v>45010</v>
      </c>
      <c r="F132" s="26" t="s">
        <v>152</v>
      </c>
      <c r="G132" s="27">
        <f t="shared" si="1"/>
        <v>6.650717703349283</v>
      </c>
      <c r="I132" s="49" t="s">
        <v>136</v>
      </c>
      <c r="J132" s="48">
        <v>293</v>
      </c>
      <c r="K132" s="48">
        <v>97.666666666666671</v>
      </c>
      <c r="L132" s="43"/>
      <c r="O132" s="43"/>
    </row>
    <row r="133" spans="1:16" ht="15" customHeight="1" x14ac:dyDescent="0.3">
      <c r="A133" s="6">
        <f>ROW(Wydatki[[#This Row],[Amount]])-8</f>
        <v>125</v>
      </c>
      <c r="B133" s="22">
        <v>100</v>
      </c>
      <c r="C133" s="23" t="s">
        <v>75</v>
      </c>
      <c r="D133" s="23" t="str">
        <f>IF(COUNTIF(Wydatki[[#This Row],[Expenditure]],"*"&amp;"Parking"&amp;"*")=1,"Parking",IF(COUNTIF(Wydatki[[#This Row],[Expenditure]],"*"&amp;"Benzyna"&amp;"*")=1,"Benzyna","Inny wydatek"))</f>
        <v>Inny wydatek</v>
      </c>
      <c r="E133" s="25">
        <v>45019</v>
      </c>
      <c r="F133" s="26" t="s">
        <v>152</v>
      </c>
      <c r="G133" s="27" t="str">
        <f t="shared" si="1"/>
        <v/>
      </c>
      <c r="I133" s="49" t="s">
        <v>137</v>
      </c>
      <c r="J133" s="48">
        <v>173</v>
      </c>
      <c r="K133" s="48">
        <v>57.666666666666664</v>
      </c>
      <c r="L133" s="43"/>
      <c r="O133" s="43"/>
    </row>
    <row r="134" spans="1:16" ht="15" customHeight="1" x14ac:dyDescent="0.3">
      <c r="A134" s="6">
        <f>ROW(Wydatki[[#This Row],[Amount]])-8</f>
        <v>126</v>
      </c>
      <c r="B134" s="22">
        <v>154</v>
      </c>
      <c r="C134" s="23" t="s">
        <v>32</v>
      </c>
      <c r="D134" s="23" t="str">
        <f>IF(COUNTIF(Wydatki[[#This Row],[Expenditure]],"*"&amp;"Parking"&amp;"*")=1,"Parking",IF(COUNTIF(Wydatki[[#This Row],[Expenditure]],"*"&amp;"Benzyna"&amp;"*")=1,"Benzyna","Inny wydatek"))</f>
        <v>Benzyna</v>
      </c>
      <c r="E134" s="25">
        <v>45023</v>
      </c>
      <c r="F134" s="26" t="s">
        <v>152</v>
      </c>
      <c r="G134" s="27">
        <f t="shared" si="1"/>
        <v>6.7248908296943233</v>
      </c>
      <c r="I134" s="49" t="s">
        <v>138</v>
      </c>
      <c r="J134" s="48">
        <v>29</v>
      </c>
      <c r="K134" s="48">
        <v>5.8</v>
      </c>
      <c r="L134" s="43"/>
      <c r="O134" s="43"/>
    </row>
    <row r="135" spans="1:16" ht="15" customHeight="1" x14ac:dyDescent="0.3">
      <c r="A135" s="6">
        <f>ROW(Wydatki[[#This Row],[Amount]])-8</f>
        <v>127</v>
      </c>
      <c r="B135" s="22">
        <v>64</v>
      </c>
      <c r="C135" s="23" t="s">
        <v>76</v>
      </c>
      <c r="D135" s="23" t="str">
        <f>IF(COUNTIF(Wydatki[[#This Row],[Expenditure]],"*"&amp;"Parking"&amp;"*")=1,"Parking",IF(COUNTIF(Wydatki[[#This Row],[Expenditure]],"*"&amp;"Benzyna"&amp;"*")=1,"Benzyna","Inny wydatek"))</f>
        <v>Inny wydatek</v>
      </c>
      <c r="E135" s="25">
        <v>45026</v>
      </c>
      <c r="F135" s="26" t="s">
        <v>153</v>
      </c>
      <c r="G135" s="27" t="str">
        <f t="shared" si="1"/>
        <v/>
      </c>
      <c r="I135" s="49" t="s">
        <v>139</v>
      </c>
      <c r="J135" s="48">
        <v>466</v>
      </c>
      <c r="K135" s="48">
        <v>93.2</v>
      </c>
      <c r="L135" s="43"/>
      <c r="M135" s="43"/>
      <c r="N135" s="43"/>
      <c r="O135" s="43"/>
    </row>
    <row r="136" spans="1:16" ht="15" customHeight="1" x14ac:dyDescent="0.3">
      <c r="A136" s="6">
        <f>ROW(Wydatki[[#This Row],[Amount]])-8</f>
        <v>128</v>
      </c>
      <c r="B136" s="22">
        <v>145</v>
      </c>
      <c r="C136" s="23" t="s">
        <v>73</v>
      </c>
      <c r="D136" s="23" t="str">
        <f>IF(COUNTIF(Wydatki[[#This Row],[Expenditure]],"*"&amp;"Parking"&amp;"*")=1,"Parking",IF(COUNTIF(Wydatki[[#This Row],[Expenditure]],"*"&amp;"Benzyna"&amp;"*")=1,"Benzyna","Inny wydatek"))</f>
        <v>Benzyna</v>
      </c>
      <c r="E136" s="25">
        <v>45030</v>
      </c>
      <c r="F136" s="26" t="s">
        <v>152</v>
      </c>
      <c r="G136" s="27">
        <f t="shared" si="1"/>
        <v>6.6513761467889907</v>
      </c>
      <c r="I136" s="49" t="s">
        <v>140</v>
      </c>
      <c r="J136" s="48">
        <v>49</v>
      </c>
      <c r="K136" s="48">
        <v>8.1666666666666661</v>
      </c>
      <c r="L136" s="43"/>
      <c r="M136" s="43"/>
      <c r="N136" s="43"/>
      <c r="O136" s="43"/>
    </row>
    <row r="137" spans="1:16" ht="15" customHeight="1" x14ac:dyDescent="0.3">
      <c r="A137" s="6">
        <f>ROW(Wydatki[[#This Row],[Amount]])-8</f>
        <v>129</v>
      </c>
      <c r="B137" s="22">
        <v>80</v>
      </c>
      <c r="C137" s="23" t="s">
        <v>77</v>
      </c>
      <c r="D137" s="23" t="str">
        <f>IF(COUNTIF(Wydatki[[#This Row],[Expenditure]],"*"&amp;"Parking"&amp;"*")=1,"Parking",IF(COUNTIF(Wydatki[[#This Row],[Expenditure]],"*"&amp;"Benzyna"&amp;"*")=1,"Benzyna","Inny wydatek"))</f>
        <v>Inny wydatek</v>
      </c>
      <c r="E137" s="25">
        <v>45031</v>
      </c>
      <c r="F137" s="26" t="s">
        <v>152</v>
      </c>
      <c r="G137" s="27" t="str">
        <f t="shared" ref="G137:G200" si="12">IFERROR(B137/MID(C137,9,4),"")</f>
        <v/>
      </c>
      <c r="I137" s="49" t="s">
        <v>141</v>
      </c>
      <c r="J137" s="48">
        <v>328</v>
      </c>
      <c r="K137" s="48">
        <v>109.33333333333333</v>
      </c>
      <c r="L137" s="43"/>
      <c r="M137" s="43"/>
      <c r="N137" s="43"/>
      <c r="O137" s="43"/>
    </row>
    <row r="138" spans="1:16" ht="15" customHeight="1" x14ac:dyDescent="0.3">
      <c r="A138" s="6">
        <f>ROW(Wydatki[[#This Row],[Amount]])-8</f>
        <v>130</v>
      </c>
      <c r="B138" s="22">
        <v>30</v>
      </c>
      <c r="C138" s="23" t="s">
        <v>56</v>
      </c>
      <c r="D138" s="23" t="str">
        <f>IF(COUNTIF(Wydatki[[#This Row],[Expenditure]],"*"&amp;"Parking"&amp;"*")=1,"Parking",IF(COUNTIF(Wydatki[[#This Row],[Expenditure]],"*"&amp;"Benzyna"&amp;"*")=1,"Benzyna","Inny wydatek"))</f>
        <v>Parking</v>
      </c>
      <c r="E138" s="25">
        <v>45038</v>
      </c>
      <c r="F138" s="26" t="s">
        <v>152</v>
      </c>
      <c r="G138" s="27" t="str">
        <f t="shared" si="12"/>
        <v/>
      </c>
      <c r="I138" s="49" t="s">
        <v>142</v>
      </c>
      <c r="J138" s="48">
        <v>324</v>
      </c>
      <c r="K138" s="48">
        <v>108</v>
      </c>
      <c r="L138" s="43"/>
      <c r="M138" s="43"/>
      <c r="N138" s="43"/>
      <c r="O138" s="43"/>
    </row>
    <row r="139" spans="1:16" ht="15" customHeight="1" x14ac:dyDescent="0.3">
      <c r="A139" s="6">
        <f>ROW(Wydatki[[#This Row],[Amount]])-8</f>
        <v>131</v>
      </c>
      <c r="B139" s="22">
        <v>99</v>
      </c>
      <c r="C139" s="23" t="s">
        <v>27</v>
      </c>
      <c r="D139" s="23" t="str">
        <f>IF(COUNTIF(Wydatki[[#This Row],[Expenditure]],"*"&amp;"Parking"&amp;"*")=1,"Parking",IF(COUNTIF(Wydatki[[#This Row],[Expenditure]],"*"&amp;"Benzyna"&amp;"*")=1,"Benzyna","Inny wydatek"))</f>
        <v>Inny wydatek</v>
      </c>
      <c r="E139" s="25">
        <v>45044</v>
      </c>
      <c r="F139" s="26" t="s">
        <v>152</v>
      </c>
      <c r="G139" s="27" t="str">
        <f t="shared" si="12"/>
        <v/>
      </c>
      <c r="I139" s="49" t="s">
        <v>143</v>
      </c>
      <c r="J139" s="48">
        <v>803</v>
      </c>
      <c r="K139" s="48">
        <v>401.5</v>
      </c>
      <c r="L139" s="43"/>
      <c r="M139" s="43"/>
      <c r="N139" s="43"/>
      <c r="O139" s="43"/>
    </row>
    <row r="140" spans="1:16" ht="15" customHeight="1" x14ac:dyDescent="0.3">
      <c r="A140" s="6">
        <f>ROW(Wydatki[[#This Row],[Amount]])-8</f>
        <v>132</v>
      </c>
      <c r="B140" s="22">
        <v>210</v>
      </c>
      <c r="C140" s="23" t="s">
        <v>78</v>
      </c>
      <c r="D140" s="23" t="str">
        <f>IF(COUNTIF(Wydatki[[#This Row],[Expenditure]],"*"&amp;"Parking"&amp;"*")=1,"Parking",IF(COUNTIF(Wydatki[[#This Row],[Expenditure]],"*"&amp;"Benzyna"&amp;"*")=1,"Benzyna","Inny wydatek"))</f>
        <v>Benzyna</v>
      </c>
      <c r="E140" s="25">
        <v>45046</v>
      </c>
      <c r="F140" s="26" t="s">
        <v>152</v>
      </c>
      <c r="G140" s="27">
        <f t="shared" si="12"/>
        <v>6.624605678233439</v>
      </c>
      <c r="I140" s="49" t="s">
        <v>144</v>
      </c>
      <c r="J140" s="48">
        <v>15</v>
      </c>
      <c r="K140" s="48">
        <v>3.75</v>
      </c>
      <c r="L140" s="43"/>
      <c r="M140" s="43"/>
      <c r="N140" s="43"/>
      <c r="O140" s="43"/>
    </row>
    <row r="141" spans="1:16" ht="15" customHeight="1" x14ac:dyDescent="0.3">
      <c r="A141" s="6">
        <f>ROW(Wydatki[[#This Row],[Amount]])-8</f>
        <v>133</v>
      </c>
      <c r="B141" s="22">
        <v>123</v>
      </c>
      <c r="C141" s="23" t="s">
        <v>79</v>
      </c>
      <c r="D141" s="23" t="str">
        <f>IF(COUNTIF(Wydatki[[#This Row],[Expenditure]],"*"&amp;"Parking"&amp;"*")=1,"Parking",IF(COUNTIF(Wydatki[[#This Row],[Expenditure]],"*"&amp;"Benzyna"&amp;"*")=1,"Benzyna","Inny wydatek"))</f>
        <v>Benzyna</v>
      </c>
      <c r="E141" s="25">
        <v>45052</v>
      </c>
      <c r="F141" s="26" t="s">
        <v>152</v>
      </c>
      <c r="G141" s="27">
        <f t="shared" si="12"/>
        <v>6.40625</v>
      </c>
      <c r="I141" s="49" t="s">
        <v>145</v>
      </c>
      <c r="J141" s="48">
        <v>1095</v>
      </c>
      <c r="K141" s="48">
        <v>121.66666666666667</v>
      </c>
      <c r="L141" s="43"/>
      <c r="M141" s="43"/>
      <c r="N141" s="43"/>
      <c r="O141" s="43"/>
    </row>
    <row r="142" spans="1:16" ht="15" customHeight="1" x14ac:dyDescent="0.3">
      <c r="A142" s="6">
        <f>ROW(Wydatki[[#This Row],[Amount]])-8</f>
        <v>134</v>
      </c>
      <c r="B142" s="22">
        <v>189</v>
      </c>
      <c r="C142" s="23" t="s">
        <v>80</v>
      </c>
      <c r="D142" s="23" t="str">
        <f>IF(COUNTIF(Wydatki[[#This Row],[Expenditure]],"*"&amp;"Parking"&amp;"*")=1,"Parking",IF(COUNTIF(Wydatki[[#This Row],[Expenditure]],"*"&amp;"Benzyna"&amp;"*")=1,"Benzyna","Inny wydatek"))</f>
        <v>Benzyna</v>
      </c>
      <c r="E142" s="25">
        <v>45066</v>
      </c>
      <c r="F142" s="26" t="s">
        <v>152</v>
      </c>
      <c r="G142" s="27">
        <f t="shared" si="12"/>
        <v>6.3422818791946307</v>
      </c>
      <c r="I142" s="49" t="s">
        <v>146</v>
      </c>
      <c r="J142" s="48">
        <v>924</v>
      </c>
      <c r="K142" s="48">
        <v>77</v>
      </c>
      <c r="L142" s="43"/>
      <c r="M142" s="43"/>
      <c r="N142" s="43"/>
      <c r="O142" s="43"/>
    </row>
    <row r="143" spans="1:16" ht="15" customHeight="1" x14ac:dyDescent="0.3">
      <c r="A143" s="6">
        <f>ROW(Wydatki[[#This Row],[Amount]])-8</f>
        <v>135</v>
      </c>
      <c r="B143" s="22">
        <v>20</v>
      </c>
      <c r="C143" s="23" t="s">
        <v>81</v>
      </c>
      <c r="D143" s="23" t="str">
        <f>IF(COUNTIF(Wydatki[[#This Row],[Expenditure]],"*"&amp;"Parking"&amp;"*")=1,"Parking",IF(COUNTIF(Wydatki[[#This Row],[Expenditure]],"*"&amp;"Benzyna"&amp;"*")=1,"Benzyna","Inny wydatek"))</f>
        <v>Inny wydatek</v>
      </c>
      <c r="E143" s="25">
        <v>45073</v>
      </c>
      <c r="F143" s="26" t="s">
        <v>153</v>
      </c>
      <c r="G143" s="27" t="str">
        <f t="shared" si="12"/>
        <v/>
      </c>
      <c r="I143" s="43" t="s">
        <v>149</v>
      </c>
      <c r="J143" s="48"/>
      <c r="K143" s="48"/>
      <c r="L143" s="43"/>
      <c r="M143" s="43"/>
      <c r="N143" s="43"/>
      <c r="O143" s="43"/>
    </row>
    <row r="144" spans="1:16" ht="15" customHeight="1" x14ac:dyDescent="0.3">
      <c r="A144" s="6">
        <f>ROW(Wydatki[[#This Row],[Amount]])-8</f>
        <v>136</v>
      </c>
      <c r="B144" s="22">
        <v>198</v>
      </c>
      <c r="C144" s="23" t="s">
        <v>82</v>
      </c>
      <c r="D144" s="23" t="str">
        <f>IF(COUNTIF(Wydatki[[#This Row],[Expenditure]],"*"&amp;"Parking"&amp;"*")=1,"Parking",IF(COUNTIF(Wydatki[[#This Row],[Expenditure]],"*"&amp;"Benzyna"&amp;"*")=1,"Benzyna","Inny wydatek"))</f>
        <v>Benzyna</v>
      </c>
      <c r="E144" s="25">
        <v>45075</v>
      </c>
      <c r="F144" s="26" t="s">
        <v>153</v>
      </c>
      <c r="G144" s="27">
        <f t="shared" si="12"/>
        <v>6.4285714285714288</v>
      </c>
      <c r="I144" s="49" t="s">
        <v>135</v>
      </c>
      <c r="J144" s="48">
        <v>181</v>
      </c>
      <c r="K144" s="48">
        <v>60.333333333333336</v>
      </c>
      <c r="L144" s="43"/>
      <c r="M144" s="43"/>
      <c r="N144" s="43"/>
      <c r="O144" s="43"/>
    </row>
    <row r="145" spans="1:15" ht="15" customHeight="1" x14ac:dyDescent="0.3">
      <c r="A145" s="6">
        <f>ROW(Wydatki[[#This Row],[Amount]])-8</f>
        <v>137</v>
      </c>
      <c r="B145" s="22">
        <v>30</v>
      </c>
      <c r="C145" s="23" t="s">
        <v>56</v>
      </c>
      <c r="D145" s="23" t="str">
        <f>IF(COUNTIF(Wydatki[[#This Row],[Expenditure]],"*"&amp;"Parking"&amp;"*")=1,"Parking",IF(COUNTIF(Wydatki[[#This Row],[Expenditure]],"*"&amp;"Benzyna"&amp;"*")=1,"Benzyna","Inny wydatek"))</f>
        <v>Parking</v>
      </c>
      <c r="E145" s="25">
        <v>45102</v>
      </c>
      <c r="F145" s="26" t="s">
        <v>152</v>
      </c>
      <c r="G145" s="27" t="str">
        <f t="shared" si="12"/>
        <v/>
      </c>
      <c r="I145" s="49" t="s">
        <v>136</v>
      </c>
      <c r="J145" s="48">
        <v>171</v>
      </c>
      <c r="K145" s="48">
        <v>85.5</v>
      </c>
      <c r="L145" s="43"/>
      <c r="M145" s="43"/>
      <c r="N145" s="43"/>
      <c r="O145" s="43"/>
    </row>
    <row r="146" spans="1:15" ht="15" customHeight="1" x14ac:dyDescent="0.3">
      <c r="A146" s="6">
        <f>ROW(Wydatki[[#This Row],[Amount]])-8</f>
        <v>138</v>
      </c>
      <c r="B146" s="22">
        <v>183</v>
      </c>
      <c r="C146" s="23" t="s">
        <v>83</v>
      </c>
      <c r="D146" s="23" t="str">
        <f>IF(COUNTIF(Wydatki[[#This Row],[Expenditure]],"*"&amp;"Parking"&amp;"*")=1,"Parking",IF(COUNTIF(Wydatki[[#This Row],[Expenditure]],"*"&amp;"Benzyna"&amp;"*")=1,"Benzyna","Inny wydatek"))</f>
        <v>Benzyna</v>
      </c>
      <c r="E146" s="25">
        <v>45108</v>
      </c>
      <c r="F146" s="26" t="s">
        <v>152</v>
      </c>
      <c r="G146" s="27">
        <f t="shared" si="12"/>
        <v>6.3103448275862073</v>
      </c>
      <c r="I146" s="49" t="s">
        <v>137</v>
      </c>
      <c r="J146" s="48">
        <v>539</v>
      </c>
      <c r="K146" s="48">
        <v>67.375</v>
      </c>
      <c r="L146" s="43"/>
      <c r="M146" s="43"/>
      <c r="N146" s="43"/>
    </row>
    <row r="147" spans="1:15" ht="15" customHeight="1" x14ac:dyDescent="0.3">
      <c r="A147" s="6">
        <f>ROW(Wydatki[[#This Row],[Amount]])-8</f>
        <v>139</v>
      </c>
      <c r="B147" s="22">
        <v>30</v>
      </c>
      <c r="C147" s="23" t="s">
        <v>56</v>
      </c>
      <c r="D147" s="23" t="str">
        <f>IF(COUNTIF(Wydatki[[#This Row],[Expenditure]],"*"&amp;"Parking"&amp;"*")=1,"Parking",IF(COUNTIF(Wydatki[[#This Row],[Expenditure]],"*"&amp;"Benzyna"&amp;"*")=1,"Benzyna","Inny wydatek"))</f>
        <v>Parking</v>
      </c>
      <c r="E147" s="25">
        <v>45124</v>
      </c>
      <c r="F147" s="26" t="s">
        <v>152</v>
      </c>
      <c r="G147" s="27" t="str">
        <f t="shared" si="12"/>
        <v/>
      </c>
      <c r="I147" s="49" t="s">
        <v>138</v>
      </c>
      <c r="J147" s="48">
        <v>189</v>
      </c>
      <c r="K147" s="48">
        <v>189</v>
      </c>
      <c r="L147" s="43"/>
      <c r="M147" s="43"/>
      <c r="N147" s="43"/>
    </row>
    <row r="148" spans="1:15" ht="15" customHeight="1" x14ac:dyDescent="0.3">
      <c r="A148" s="6">
        <f>ROW(Wydatki[[#This Row],[Amount]])-8</f>
        <v>140</v>
      </c>
      <c r="B148" s="22">
        <v>200</v>
      </c>
      <c r="C148" s="23" t="s">
        <v>84</v>
      </c>
      <c r="D148" s="23" t="str">
        <f>IF(COUNTIF(Wydatki[[#This Row],[Expenditure]],"*"&amp;"Parking"&amp;"*")=1,"Parking",IF(COUNTIF(Wydatki[[#This Row],[Expenditure]],"*"&amp;"Benzyna"&amp;"*")=1,"Benzyna","Inny wydatek"))</f>
        <v>Benzyna</v>
      </c>
      <c r="E148" s="25">
        <v>45125</v>
      </c>
      <c r="F148" s="26" t="s">
        <v>152</v>
      </c>
      <c r="G148" s="27">
        <f t="shared" si="12"/>
        <v>6.3291139240506329</v>
      </c>
      <c r="I148" s="49" t="s">
        <v>139</v>
      </c>
      <c r="J148" s="48">
        <v>450</v>
      </c>
      <c r="K148" s="48">
        <v>150</v>
      </c>
      <c r="L148" s="43"/>
      <c r="M148" s="43"/>
      <c r="N148" s="43"/>
    </row>
    <row r="149" spans="1:15" ht="15" customHeight="1" x14ac:dyDescent="0.3">
      <c r="A149" s="6">
        <f>ROW(Wydatki[[#This Row],[Amount]])-8</f>
        <v>141</v>
      </c>
      <c r="B149" s="22">
        <v>149</v>
      </c>
      <c r="C149" s="23" t="s">
        <v>85</v>
      </c>
      <c r="D149" s="23" t="str">
        <f>IF(COUNTIF(Wydatki[[#This Row],[Expenditure]],"*"&amp;"Parking"&amp;"*")=1,"Parking",IF(COUNTIF(Wydatki[[#This Row],[Expenditure]],"*"&amp;"Benzyna"&amp;"*")=1,"Benzyna","Inny wydatek"))</f>
        <v>Benzyna</v>
      </c>
      <c r="E149" s="25">
        <v>45139</v>
      </c>
      <c r="F149" s="26" t="s">
        <v>152</v>
      </c>
      <c r="G149" s="27">
        <f t="shared" si="12"/>
        <v>6.4502164502164501</v>
      </c>
      <c r="I149" s="49" t="s">
        <v>140</v>
      </c>
      <c r="J149" s="48">
        <v>20</v>
      </c>
      <c r="K149" s="48">
        <v>20</v>
      </c>
      <c r="L149" s="43"/>
      <c r="M149" s="43"/>
      <c r="N149" s="43"/>
    </row>
    <row r="150" spans="1:15" ht="15" customHeight="1" x14ac:dyDescent="0.3">
      <c r="A150" s="6">
        <f>ROW(Wydatki[[#This Row],[Amount]])-8</f>
        <v>142</v>
      </c>
      <c r="B150" s="22">
        <v>9</v>
      </c>
      <c r="C150" s="23" t="s">
        <v>86</v>
      </c>
      <c r="D150" s="23" t="str">
        <f>IF(COUNTIF(Wydatki[[#This Row],[Expenditure]],"*"&amp;"Parking"&amp;"*")=1,"Parking",IF(COUNTIF(Wydatki[[#This Row],[Expenditure]],"*"&amp;"Benzyna"&amp;"*")=1,"Benzyna","Inny wydatek"))</f>
        <v>Inny wydatek</v>
      </c>
      <c r="E150" s="25">
        <v>45141</v>
      </c>
      <c r="F150" s="26" t="s">
        <v>152</v>
      </c>
      <c r="G150" s="27" t="str">
        <f t="shared" si="12"/>
        <v/>
      </c>
      <c r="I150" s="49" t="s">
        <v>141</v>
      </c>
      <c r="J150" s="48">
        <v>264</v>
      </c>
      <c r="K150" s="48">
        <v>132</v>
      </c>
      <c r="L150" s="43"/>
      <c r="M150" s="43"/>
      <c r="N150" s="43"/>
    </row>
    <row r="151" spans="1:15" ht="15" customHeight="1" x14ac:dyDescent="0.3">
      <c r="A151" s="6">
        <f>ROW(Wydatki[[#This Row],[Amount]])-8</f>
        <v>143</v>
      </c>
      <c r="B151" s="22">
        <v>21</v>
      </c>
      <c r="C151" s="23" t="s">
        <v>87</v>
      </c>
      <c r="D151" s="23" t="str">
        <f>IF(COUNTIF(Wydatki[[#This Row],[Expenditure]],"*"&amp;"Parking"&amp;"*")=1,"Parking",IF(COUNTIF(Wydatki[[#This Row],[Expenditure]],"*"&amp;"Benzyna"&amp;"*")=1,"Benzyna","Inny wydatek"))</f>
        <v>Inny wydatek</v>
      </c>
      <c r="E151" s="25">
        <v>45141</v>
      </c>
      <c r="F151" s="26" t="s">
        <v>152</v>
      </c>
      <c r="G151" s="27" t="str">
        <f t="shared" si="12"/>
        <v/>
      </c>
      <c r="I151" s="49" t="s">
        <v>142</v>
      </c>
      <c r="J151" s="48">
        <v>114</v>
      </c>
      <c r="K151" s="48">
        <v>114</v>
      </c>
      <c r="L151" s="43"/>
      <c r="M151" s="43"/>
      <c r="N151" s="43"/>
    </row>
    <row r="152" spans="1:15" ht="15" customHeight="1" x14ac:dyDescent="0.3">
      <c r="A152" s="6">
        <f>ROW(Wydatki[[#This Row],[Amount]])-8</f>
        <v>144</v>
      </c>
      <c r="B152" s="22">
        <v>123</v>
      </c>
      <c r="C152" s="23" t="s">
        <v>88</v>
      </c>
      <c r="D152" s="23" t="str">
        <f>IF(COUNTIF(Wydatki[[#This Row],[Expenditure]],"*"&amp;"Parking"&amp;"*")=1,"Parking",IF(COUNTIF(Wydatki[[#This Row],[Expenditure]],"*"&amp;"Benzyna"&amp;"*")=1,"Benzyna","Inny wydatek"))</f>
        <v>Benzyna</v>
      </c>
      <c r="E152" s="25">
        <v>45150</v>
      </c>
      <c r="F152" s="26" t="s">
        <v>152</v>
      </c>
      <c r="G152" s="27">
        <f t="shared" si="12"/>
        <v>6.5775401069518722</v>
      </c>
      <c r="I152" s="49" t="s">
        <v>143</v>
      </c>
      <c r="J152" s="48">
        <v>775</v>
      </c>
      <c r="K152" s="48">
        <v>155</v>
      </c>
      <c r="L152" s="43"/>
      <c r="M152" s="43"/>
      <c r="N152" s="43"/>
    </row>
    <row r="153" spans="1:15" ht="15" customHeight="1" x14ac:dyDescent="0.3">
      <c r="A153" s="6">
        <f>ROW(Wydatki[[#This Row],[Amount]])-8</f>
        <v>145</v>
      </c>
      <c r="B153" s="22">
        <v>43</v>
      </c>
      <c r="C153" s="23" t="s">
        <v>89</v>
      </c>
      <c r="D153" s="23" t="str">
        <f>IF(COUNTIF(Wydatki[[#This Row],[Expenditure]],"*"&amp;"Parking"&amp;"*")=1,"Parking",IF(COUNTIF(Wydatki[[#This Row],[Expenditure]],"*"&amp;"Benzyna"&amp;"*")=1,"Benzyna","Inny wydatek"))</f>
        <v>Inny wydatek</v>
      </c>
      <c r="E153" s="25">
        <v>45150</v>
      </c>
      <c r="F153" s="26" t="s">
        <v>153</v>
      </c>
      <c r="G153" s="27" t="str">
        <f t="shared" si="12"/>
        <v/>
      </c>
      <c r="I153" s="49" t="s">
        <v>144</v>
      </c>
      <c r="J153" s="48">
        <v>136</v>
      </c>
      <c r="K153" s="48">
        <v>34</v>
      </c>
      <c r="L153" s="43"/>
      <c r="M153" s="43"/>
      <c r="N153" s="43"/>
    </row>
    <row r="154" spans="1:15" ht="15" customHeight="1" x14ac:dyDescent="0.3">
      <c r="A154" s="6">
        <f>ROW(Wydatki[[#This Row],[Amount]])-8</f>
        <v>146</v>
      </c>
      <c r="B154" s="22">
        <v>50</v>
      </c>
      <c r="C154" s="23" t="s">
        <v>90</v>
      </c>
      <c r="D154" s="23" t="str">
        <f>IF(COUNTIF(Wydatki[[#This Row],[Expenditure]],"*"&amp;"Parking"&amp;"*")=1,"Parking",IF(COUNTIF(Wydatki[[#This Row],[Expenditure]],"*"&amp;"Benzyna"&amp;"*")=1,"Benzyna","Inny wydatek"))</f>
        <v>Inny wydatek</v>
      </c>
      <c r="E154" s="25">
        <v>45150</v>
      </c>
      <c r="F154" s="26" t="s">
        <v>153</v>
      </c>
      <c r="G154" s="27" t="str">
        <f t="shared" si="12"/>
        <v/>
      </c>
      <c r="I154" s="49" t="s">
        <v>145</v>
      </c>
      <c r="J154" s="48">
        <v>473</v>
      </c>
      <c r="K154" s="48">
        <v>67.571428571428569</v>
      </c>
      <c r="L154" s="43"/>
      <c r="M154" s="43"/>
      <c r="N154" s="43"/>
    </row>
    <row r="155" spans="1:15" ht="15" customHeight="1" x14ac:dyDescent="0.3">
      <c r="A155" s="6">
        <f>ROW(Wydatki[[#This Row],[Amount]])-8</f>
        <v>147</v>
      </c>
      <c r="B155" s="22">
        <v>97</v>
      </c>
      <c r="C155" s="23" t="s">
        <v>91</v>
      </c>
      <c r="D155" s="23" t="str">
        <f>IF(COUNTIF(Wydatki[[#This Row],[Expenditure]],"*"&amp;"Parking"&amp;"*")=1,"Parking",IF(COUNTIF(Wydatki[[#This Row],[Expenditure]],"*"&amp;"Benzyna"&amp;"*")=1,"Benzyna","Inny wydatek"))</f>
        <v>Benzyna</v>
      </c>
      <c r="E155" s="25">
        <v>45164</v>
      </c>
      <c r="F155" s="26" t="s">
        <v>152</v>
      </c>
      <c r="G155" s="27">
        <f t="shared" si="12"/>
        <v>6.4666666666666668</v>
      </c>
      <c r="I155" s="49" t="s">
        <v>146</v>
      </c>
      <c r="J155" s="48">
        <v>1101</v>
      </c>
      <c r="K155" s="48">
        <v>275.25</v>
      </c>
      <c r="L155" s="43"/>
      <c r="M155" s="43"/>
      <c r="N155" s="43"/>
    </row>
    <row r="156" spans="1:15" ht="15" customHeight="1" x14ac:dyDescent="0.3">
      <c r="A156" s="6">
        <f>ROW(Wydatki[[#This Row],[Amount]])-8</f>
        <v>148</v>
      </c>
      <c r="B156" s="22">
        <v>123</v>
      </c>
      <c r="C156" s="23" t="s">
        <v>88</v>
      </c>
      <c r="D156" s="23" t="str">
        <f>IF(COUNTIF(Wydatki[[#This Row],[Expenditure]],"*"&amp;"Parking"&amp;"*")=1,"Parking",IF(COUNTIF(Wydatki[[#This Row],[Expenditure]],"*"&amp;"Benzyna"&amp;"*")=1,"Benzyna","Inny wydatek"))</f>
        <v>Benzyna</v>
      </c>
      <c r="E156" s="25">
        <v>45170</v>
      </c>
      <c r="F156" s="26" t="s">
        <v>152</v>
      </c>
      <c r="G156" s="27">
        <f t="shared" si="12"/>
        <v>6.5775401069518722</v>
      </c>
      <c r="I156" s="43" t="s">
        <v>150</v>
      </c>
      <c r="J156" s="48"/>
      <c r="K156" s="48"/>
      <c r="L156" s="43"/>
      <c r="M156" s="43"/>
      <c r="N156" s="43"/>
    </row>
    <row r="157" spans="1:15" ht="15" customHeight="1" x14ac:dyDescent="0.3">
      <c r="A157" s="6">
        <f>ROW(Wydatki[[#This Row],[Amount]])-8</f>
        <v>149</v>
      </c>
      <c r="B157" s="22">
        <v>30</v>
      </c>
      <c r="C157" s="23" t="s">
        <v>56</v>
      </c>
      <c r="D157" s="23" t="str">
        <f>IF(COUNTIF(Wydatki[[#This Row],[Expenditure]],"*"&amp;"Parking"&amp;"*")=1,"Parking",IF(COUNTIF(Wydatki[[#This Row],[Expenditure]],"*"&amp;"Benzyna"&amp;"*")=1,"Benzyna","Inny wydatek"))</f>
        <v>Parking</v>
      </c>
      <c r="E157" s="25">
        <v>45173</v>
      </c>
      <c r="F157" s="26" t="s">
        <v>152</v>
      </c>
      <c r="G157" s="27" t="str">
        <f t="shared" si="12"/>
        <v/>
      </c>
      <c r="I157" s="49" t="s">
        <v>135</v>
      </c>
      <c r="J157" s="48">
        <v>221</v>
      </c>
      <c r="K157" s="48">
        <v>55.25</v>
      </c>
      <c r="L157" s="43"/>
      <c r="M157" s="43"/>
      <c r="N157" s="43"/>
    </row>
    <row r="158" spans="1:15" ht="15" customHeight="1" x14ac:dyDescent="0.3">
      <c r="A158" s="6">
        <f>ROW(Wydatki[[#This Row],[Amount]])-8</f>
        <v>150</v>
      </c>
      <c r="B158" s="22">
        <v>110</v>
      </c>
      <c r="C158" s="23" t="s">
        <v>92</v>
      </c>
      <c r="D158" s="23" t="str">
        <f>IF(COUNTIF(Wydatki[[#This Row],[Expenditure]],"*"&amp;"Parking"&amp;"*")=1,"Parking",IF(COUNTIF(Wydatki[[#This Row],[Expenditure]],"*"&amp;"Benzyna"&amp;"*")=1,"Benzyna","Inny wydatek"))</f>
        <v>Benzyna</v>
      </c>
      <c r="E158" s="25">
        <v>45185</v>
      </c>
      <c r="F158" s="26" t="s">
        <v>152</v>
      </c>
      <c r="G158" s="27">
        <f t="shared" si="12"/>
        <v>6.2857142857142856</v>
      </c>
      <c r="I158" s="49" t="s">
        <v>136</v>
      </c>
      <c r="J158" s="48">
        <v>215</v>
      </c>
      <c r="K158" s="48">
        <v>71.666666666666671</v>
      </c>
      <c r="L158" s="43"/>
      <c r="M158" s="43"/>
      <c r="N158" s="43"/>
    </row>
    <row r="159" spans="1:15" ht="15" customHeight="1" x14ac:dyDescent="0.3">
      <c r="A159" s="6">
        <f>ROW(Wydatki[[#This Row],[Amount]])-8</f>
        <v>151</v>
      </c>
      <c r="B159" s="22">
        <v>5</v>
      </c>
      <c r="C159" s="23" t="s">
        <v>50</v>
      </c>
      <c r="D159" s="23" t="str">
        <f>IF(COUNTIF(Wydatki[[#This Row],[Expenditure]],"*"&amp;"Parking"&amp;"*")=1,"Parking",IF(COUNTIF(Wydatki[[#This Row],[Expenditure]],"*"&amp;"Benzyna"&amp;"*")=1,"Benzyna","Inny wydatek"))</f>
        <v>Parking</v>
      </c>
      <c r="E159" s="25">
        <v>45186</v>
      </c>
      <c r="F159" s="26" t="s">
        <v>152</v>
      </c>
      <c r="G159" s="27" t="str">
        <f t="shared" si="12"/>
        <v/>
      </c>
      <c r="I159" s="49" t="s">
        <v>137</v>
      </c>
      <c r="J159" s="48">
        <v>314</v>
      </c>
      <c r="K159" s="48">
        <v>104.66666666666667</v>
      </c>
      <c r="L159" s="43"/>
      <c r="M159" s="43"/>
      <c r="N159" s="43"/>
    </row>
    <row r="160" spans="1:15" ht="15" customHeight="1" x14ac:dyDescent="0.3">
      <c r="A160" s="6">
        <f>ROW(Wydatki[[#This Row],[Amount]])-8</f>
        <v>152</v>
      </c>
      <c r="B160" s="22">
        <v>30</v>
      </c>
      <c r="C160" s="23" t="s">
        <v>56</v>
      </c>
      <c r="D160" s="23" t="str">
        <f>IF(COUNTIF(Wydatki[[#This Row],[Expenditure]],"*"&amp;"Parking"&amp;"*")=1,"Parking",IF(COUNTIF(Wydatki[[#This Row],[Expenditure]],"*"&amp;"Benzyna"&amp;"*")=1,"Benzyna","Inny wydatek"))</f>
        <v>Parking</v>
      </c>
      <c r="E160" s="25">
        <v>45198</v>
      </c>
      <c r="F160" s="26" t="s">
        <v>152</v>
      </c>
      <c r="G160" s="27" t="str">
        <f t="shared" si="12"/>
        <v/>
      </c>
      <c r="I160" s="49" t="s">
        <v>138</v>
      </c>
      <c r="J160" s="48">
        <v>882</v>
      </c>
      <c r="K160" s="48">
        <v>110.25</v>
      </c>
      <c r="L160" s="43"/>
      <c r="M160" s="43"/>
      <c r="N160" s="43"/>
    </row>
    <row r="161" spans="1:14" ht="15" customHeight="1" x14ac:dyDescent="0.3">
      <c r="A161" s="6">
        <f>ROW(Wydatki[[#This Row],[Amount]])-8</f>
        <v>153</v>
      </c>
      <c r="B161" s="22">
        <v>166</v>
      </c>
      <c r="C161" s="23" t="s">
        <v>93</v>
      </c>
      <c r="D161" s="23" t="str">
        <f>IF(COUNTIF(Wydatki[[#This Row],[Expenditure]],"*"&amp;"Parking"&amp;"*")=1,"Parking",IF(COUNTIF(Wydatki[[#This Row],[Expenditure]],"*"&amp;"Benzyna"&amp;"*")=1,"Benzyna","Inny wydatek"))</f>
        <v>Benzyna</v>
      </c>
      <c r="E161" s="25">
        <v>45198</v>
      </c>
      <c r="F161" s="26" t="s">
        <v>152</v>
      </c>
      <c r="G161" s="27">
        <f t="shared" si="12"/>
        <v>5.9498207885304666</v>
      </c>
      <c r="I161" s="49" t="s">
        <v>139</v>
      </c>
      <c r="J161" s="48">
        <v>530</v>
      </c>
      <c r="K161" s="48">
        <v>132.5</v>
      </c>
      <c r="L161" s="43"/>
      <c r="M161" s="43"/>
      <c r="N161" s="43"/>
    </row>
    <row r="162" spans="1:14" ht="15" customHeight="1" x14ac:dyDescent="0.3">
      <c r="A162" s="6">
        <f>ROW(Wydatki[[#This Row],[Amount]])-8</f>
        <v>154</v>
      </c>
      <c r="B162" s="22">
        <v>3</v>
      </c>
      <c r="C162" s="23" t="s">
        <v>50</v>
      </c>
      <c r="D162" s="23" t="str">
        <f>IF(COUNTIF(Wydatki[[#This Row],[Expenditure]],"*"&amp;"Parking"&amp;"*")=1,"Parking",IF(COUNTIF(Wydatki[[#This Row],[Expenditure]],"*"&amp;"Benzyna"&amp;"*")=1,"Benzyna","Inny wydatek"))</f>
        <v>Parking</v>
      </c>
      <c r="E162" s="25">
        <v>45199</v>
      </c>
      <c r="F162" s="26" t="s">
        <v>152</v>
      </c>
      <c r="G162" s="27" t="str">
        <f t="shared" si="12"/>
        <v/>
      </c>
      <c r="I162" s="49" t="s">
        <v>140</v>
      </c>
      <c r="J162" s="48">
        <v>30</v>
      </c>
      <c r="K162" s="48">
        <v>30</v>
      </c>
      <c r="L162" s="43"/>
      <c r="M162" s="43"/>
      <c r="N162" s="43"/>
    </row>
    <row r="163" spans="1:14" ht="15" customHeight="1" x14ac:dyDescent="0.3">
      <c r="A163" s="6">
        <f>ROW(Wydatki[[#This Row],[Amount]])-8</f>
        <v>155</v>
      </c>
      <c r="B163" s="22">
        <v>107</v>
      </c>
      <c r="C163" s="23" t="s">
        <v>94</v>
      </c>
      <c r="D163" s="23" t="str">
        <f>IF(COUNTIF(Wydatki[[#This Row],[Expenditure]],"*"&amp;"Parking"&amp;"*")=1,"Parking",IF(COUNTIF(Wydatki[[#This Row],[Expenditure]],"*"&amp;"Benzyna"&amp;"*")=1,"Benzyna","Inny wydatek"))</f>
        <v>Benzyna</v>
      </c>
      <c r="E163" s="25">
        <v>45200</v>
      </c>
      <c r="F163" s="26" t="s">
        <v>152</v>
      </c>
      <c r="G163" s="27">
        <f t="shared" si="12"/>
        <v>5.9776536312849169</v>
      </c>
      <c r="I163" s="49" t="s">
        <v>141</v>
      </c>
      <c r="J163" s="48">
        <v>413</v>
      </c>
      <c r="K163" s="48">
        <v>137.66666666666666</v>
      </c>
      <c r="L163" s="43"/>
      <c r="M163" s="43"/>
      <c r="N163" s="43"/>
    </row>
    <row r="164" spans="1:14" ht="15" customHeight="1" x14ac:dyDescent="0.3">
      <c r="A164" s="6">
        <f>ROW(Wydatki[[#This Row],[Amount]])-8</f>
        <v>156</v>
      </c>
      <c r="B164" s="22">
        <v>360</v>
      </c>
      <c r="C164" s="23" t="s">
        <v>95</v>
      </c>
      <c r="D164" s="23" t="str">
        <f>IF(COUNTIF(Wydatki[[#This Row],[Expenditure]],"*"&amp;"Parking"&amp;"*")=1,"Parking",IF(COUNTIF(Wydatki[[#This Row],[Expenditure]],"*"&amp;"Benzyna"&amp;"*")=1,"Benzyna","Inny wydatek"))</f>
        <v>Inny wydatek</v>
      </c>
      <c r="E164" s="25">
        <v>45208</v>
      </c>
      <c r="F164" s="26" t="s">
        <v>152</v>
      </c>
      <c r="G164" s="27" t="str">
        <f t="shared" si="12"/>
        <v/>
      </c>
      <c r="I164" s="49" t="s">
        <v>142</v>
      </c>
      <c r="J164" s="48">
        <v>492</v>
      </c>
      <c r="K164" s="48">
        <v>70.285714285714292</v>
      </c>
      <c r="L164" s="43"/>
      <c r="M164" s="43"/>
      <c r="N164" s="43"/>
    </row>
    <row r="165" spans="1:14" ht="15" customHeight="1" x14ac:dyDescent="0.3">
      <c r="A165" s="6">
        <f>ROW(Wydatki[[#This Row],[Amount]])-8</f>
        <v>157</v>
      </c>
      <c r="B165" s="22">
        <v>4</v>
      </c>
      <c r="C165" s="23" t="s">
        <v>50</v>
      </c>
      <c r="D165" s="23" t="str">
        <f>IF(COUNTIF(Wydatki[[#This Row],[Expenditure]],"*"&amp;"Parking"&amp;"*")=1,"Parking",IF(COUNTIF(Wydatki[[#This Row],[Expenditure]],"*"&amp;"Benzyna"&amp;"*")=1,"Benzyna","Inny wydatek"))</f>
        <v>Parking</v>
      </c>
      <c r="E165" s="25">
        <v>45211</v>
      </c>
      <c r="F165" s="26" t="s">
        <v>152</v>
      </c>
      <c r="G165" s="27" t="str">
        <f t="shared" si="12"/>
        <v/>
      </c>
      <c r="I165" s="49" t="s">
        <v>143</v>
      </c>
      <c r="J165" s="48">
        <v>467</v>
      </c>
      <c r="K165" s="48">
        <v>66.714285714285708</v>
      </c>
      <c r="L165" s="43"/>
      <c r="M165" s="43"/>
      <c r="N165" s="43"/>
    </row>
    <row r="166" spans="1:14" ht="15" customHeight="1" x14ac:dyDescent="0.3">
      <c r="A166" s="6">
        <f>ROW(Wydatki[[#This Row],[Amount]])-8</f>
        <v>158</v>
      </c>
      <c r="B166" s="22">
        <v>104</v>
      </c>
      <c r="C166" s="23" t="s">
        <v>53</v>
      </c>
      <c r="D166" s="23" t="str">
        <f>IF(COUNTIF(Wydatki[[#This Row],[Expenditure]],"*"&amp;"Parking"&amp;"*")=1,"Parking",IF(COUNTIF(Wydatki[[#This Row],[Expenditure]],"*"&amp;"Benzyna"&amp;"*")=1,"Benzyna","Inny wydatek"))</f>
        <v>Benzyna</v>
      </c>
      <c r="E166" s="25">
        <v>45217</v>
      </c>
      <c r="F166" s="26" t="s">
        <v>152</v>
      </c>
      <c r="G166" s="27">
        <f t="shared" si="12"/>
        <v>6.1538461538461542</v>
      </c>
      <c r="I166" s="49" t="s">
        <v>144</v>
      </c>
      <c r="J166" s="48">
        <v>1571</v>
      </c>
      <c r="K166" s="48">
        <v>224.42857142857142</v>
      </c>
      <c r="L166" s="43"/>
      <c r="M166" s="43"/>
      <c r="N166" s="43"/>
    </row>
    <row r="167" spans="1:14" ht="15" customHeight="1" x14ac:dyDescent="0.3">
      <c r="A167" s="6">
        <f>ROW(Wydatki[[#This Row],[Amount]])-8</f>
        <v>159</v>
      </c>
      <c r="B167" s="22">
        <v>75</v>
      </c>
      <c r="C167" s="23" t="s">
        <v>96</v>
      </c>
      <c r="D167" s="23" t="str">
        <f>IF(COUNTIF(Wydatki[[#This Row],[Expenditure]],"*"&amp;"Parking"&amp;"*")=1,"Parking",IF(COUNTIF(Wydatki[[#This Row],[Expenditure]],"*"&amp;"Benzyna"&amp;"*")=1,"Benzyna","Inny wydatek"))</f>
        <v>Benzyna</v>
      </c>
      <c r="E167" s="25">
        <v>45220</v>
      </c>
      <c r="F167" s="26" t="s">
        <v>152</v>
      </c>
      <c r="G167" s="27">
        <f t="shared" si="12"/>
        <v>6.0483870967741931</v>
      </c>
      <c r="I167" s="49" t="s">
        <v>145</v>
      </c>
      <c r="J167" s="48">
        <v>1629</v>
      </c>
      <c r="K167" s="48">
        <v>271.5</v>
      </c>
      <c r="L167" s="43"/>
      <c r="M167" s="43"/>
      <c r="N167" s="43"/>
    </row>
    <row r="168" spans="1:14" ht="15" customHeight="1" x14ac:dyDescent="0.3">
      <c r="A168" s="6">
        <f>ROW(Wydatki[[#This Row],[Amount]])-8</f>
        <v>160</v>
      </c>
      <c r="B168" s="22">
        <v>772</v>
      </c>
      <c r="C168" s="23" t="s">
        <v>97</v>
      </c>
      <c r="D168" s="23" t="str">
        <f>IF(COUNTIF(Wydatki[[#This Row],[Expenditure]],"*"&amp;"Parking"&amp;"*")=1,"Parking",IF(COUNTIF(Wydatki[[#This Row],[Expenditure]],"*"&amp;"Benzyna"&amp;"*")=1,"Benzyna","Inny wydatek"))</f>
        <v>Inny wydatek</v>
      </c>
      <c r="E168" s="25">
        <v>45224</v>
      </c>
      <c r="F168" s="26" t="s">
        <v>152</v>
      </c>
      <c r="G168" s="27" t="str">
        <f t="shared" si="12"/>
        <v/>
      </c>
      <c r="I168" s="49" t="s">
        <v>146</v>
      </c>
      <c r="J168" s="48">
        <v>221</v>
      </c>
      <c r="K168" s="48">
        <v>55.25</v>
      </c>
      <c r="L168" s="43"/>
      <c r="M168" s="43"/>
      <c r="N168" s="43"/>
    </row>
    <row r="169" spans="1:14" ht="15" customHeight="1" x14ac:dyDescent="0.3">
      <c r="A169" s="6">
        <f>ROW(Wydatki[[#This Row],[Amount]])-8</f>
        <v>161</v>
      </c>
      <c r="B169" s="22">
        <v>149</v>
      </c>
      <c r="C169" s="23" t="s">
        <v>98</v>
      </c>
      <c r="D169" s="23" t="str">
        <f>IF(COUNTIF(Wydatki[[#This Row],[Expenditure]],"*"&amp;"Parking"&amp;"*")=1,"Parking",IF(COUNTIF(Wydatki[[#This Row],[Expenditure]],"*"&amp;"Benzyna"&amp;"*")=1,"Benzyna","Inny wydatek"))</f>
        <v>Benzyna</v>
      </c>
      <c r="E169" s="25">
        <v>45225</v>
      </c>
      <c r="F169" s="26" t="s">
        <v>152</v>
      </c>
      <c r="G169" s="27">
        <f t="shared" si="12"/>
        <v>6.1316872427983533</v>
      </c>
      <c r="I169" s="43" t="s">
        <v>151</v>
      </c>
      <c r="J169" s="48"/>
      <c r="K169" s="48"/>
      <c r="L169" s="43"/>
      <c r="M169" s="43"/>
      <c r="N169" s="43"/>
    </row>
    <row r="170" spans="1:14" ht="15" customHeight="1" x14ac:dyDescent="0.3">
      <c r="A170" s="6">
        <f>ROW(Wydatki[[#This Row],[Amount]])-8</f>
        <v>162</v>
      </c>
      <c r="B170" s="22">
        <v>151</v>
      </c>
      <c r="C170" s="23" t="s">
        <v>99</v>
      </c>
      <c r="D170" s="23" t="str">
        <f>IF(COUNTIF(Wydatki[[#This Row],[Expenditure]],"*"&amp;"Parking"&amp;"*")=1,"Parking",IF(COUNTIF(Wydatki[[#This Row],[Expenditure]],"*"&amp;"Benzyna"&amp;"*")=1,"Benzyna","Inny wydatek"))</f>
        <v>Benzyna</v>
      </c>
      <c r="E170" s="25">
        <v>45232</v>
      </c>
      <c r="F170" s="26" t="s">
        <v>152</v>
      </c>
      <c r="G170" s="27">
        <f t="shared" si="12"/>
        <v>6.4255319148936172</v>
      </c>
      <c r="I170" s="49" t="s">
        <v>135</v>
      </c>
      <c r="J170" s="48">
        <v>405</v>
      </c>
      <c r="K170" s="48">
        <v>135</v>
      </c>
      <c r="L170" s="43"/>
      <c r="M170" s="43"/>
      <c r="N170" s="43"/>
    </row>
    <row r="171" spans="1:14" ht="15" customHeight="1" x14ac:dyDescent="0.3">
      <c r="A171" s="6">
        <f>ROW(Wydatki[[#This Row],[Amount]])-8</f>
        <v>163</v>
      </c>
      <c r="B171" s="22">
        <v>1162</v>
      </c>
      <c r="C171" s="23" t="s">
        <v>159</v>
      </c>
      <c r="D171" s="23" t="str">
        <f>IF(COUNTIF(Wydatki[[#This Row],[Expenditure]],"*"&amp;"Parking"&amp;"*")=1,"Parking",IF(COUNTIF(Wydatki[[#This Row],[Expenditure]],"*"&amp;"Benzyna"&amp;"*")=1,"Benzyna","Inny wydatek"))</f>
        <v>Inny wydatek</v>
      </c>
      <c r="E171" s="25">
        <v>45238</v>
      </c>
      <c r="F171" s="26" t="s">
        <v>152</v>
      </c>
      <c r="G171" s="27" t="str">
        <f t="shared" si="12"/>
        <v/>
      </c>
      <c r="I171" s="49" t="s">
        <v>136</v>
      </c>
      <c r="J171" s="48">
        <v>158</v>
      </c>
      <c r="K171" s="48">
        <v>79</v>
      </c>
      <c r="L171" s="43"/>
      <c r="M171" s="43"/>
      <c r="N171" s="43"/>
    </row>
    <row r="172" spans="1:14" ht="15" customHeight="1" x14ac:dyDescent="0.3">
      <c r="A172" s="6">
        <f>ROW(Wydatki[[#This Row],[Amount]])-8</f>
        <v>164</v>
      </c>
      <c r="B172" s="22">
        <v>2</v>
      </c>
      <c r="C172" s="23" t="s">
        <v>50</v>
      </c>
      <c r="D172" s="23" t="str">
        <f>IF(COUNTIF(Wydatki[[#This Row],[Expenditure]],"*"&amp;"Parking"&amp;"*")=1,"Parking",IF(COUNTIF(Wydatki[[#This Row],[Expenditure]],"*"&amp;"Benzyna"&amp;"*")=1,"Benzyna","Inny wydatek"))</f>
        <v>Parking</v>
      </c>
      <c r="E172" s="25">
        <v>45239</v>
      </c>
      <c r="F172" s="26" t="s">
        <v>152</v>
      </c>
      <c r="G172" s="27" t="str">
        <f t="shared" si="12"/>
        <v/>
      </c>
      <c r="I172" s="49" t="s">
        <v>137</v>
      </c>
      <c r="J172" s="48">
        <v>489</v>
      </c>
      <c r="K172" s="48">
        <v>122.25</v>
      </c>
      <c r="L172" s="43"/>
      <c r="M172" s="43"/>
      <c r="N172" s="43"/>
    </row>
    <row r="173" spans="1:14" ht="15" customHeight="1" x14ac:dyDescent="0.3">
      <c r="A173" s="6">
        <f>ROW(Wydatki[[#This Row],[Amount]])-8</f>
        <v>165</v>
      </c>
      <c r="B173" s="22">
        <v>101</v>
      </c>
      <c r="C173" s="23" t="s">
        <v>100</v>
      </c>
      <c r="D173" s="23" t="str">
        <f>IF(COUNTIF(Wydatki[[#This Row],[Expenditure]],"*"&amp;"Parking"&amp;"*")=1,"Parking",IF(COUNTIF(Wydatki[[#This Row],[Expenditure]],"*"&amp;"Benzyna"&amp;"*")=1,"Benzyna","Inny wydatek"))</f>
        <v>Benzyna</v>
      </c>
      <c r="E173" s="25">
        <v>45240</v>
      </c>
      <c r="F173" s="26" t="s">
        <v>152</v>
      </c>
      <c r="G173" s="27">
        <f t="shared" si="12"/>
        <v>6.3924050632911387</v>
      </c>
      <c r="I173" s="49" t="s">
        <v>138</v>
      </c>
      <c r="J173" s="48">
        <v>647</v>
      </c>
      <c r="K173" s="48">
        <v>129.4</v>
      </c>
      <c r="L173" s="43"/>
      <c r="M173" s="43"/>
      <c r="N173" s="43"/>
    </row>
    <row r="174" spans="1:14" ht="15" customHeight="1" x14ac:dyDescent="0.3">
      <c r="A174" s="6">
        <f>ROW(Wydatki[[#This Row],[Amount]])-8</f>
        <v>166</v>
      </c>
      <c r="B174" s="22">
        <v>163</v>
      </c>
      <c r="C174" s="23" t="s">
        <v>101</v>
      </c>
      <c r="D174" s="23" t="str">
        <f>IF(COUNTIF(Wydatki[[#This Row],[Expenditure]],"*"&amp;"Parking"&amp;"*")=1,"Parking",IF(COUNTIF(Wydatki[[#This Row],[Expenditure]],"*"&amp;"Benzyna"&amp;"*")=1,"Benzyna","Inny wydatek"))</f>
        <v>Benzyna</v>
      </c>
      <c r="E174" s="25">
        <v>45257</v>
      </c>
      <c r="F174" s="26" t="s">
        <v>152</v>
      </c>
      <c r="G174" s="27">
        <f t="shared" si="12"/>
        <v>6.2934362934362937</v>
      </c>
      <c r="I174" s="49" t="s">
        <v>139</v>
      </c>
      <c r="J174" s="48">
        <v>216</v>
      </c>
      <c r="K174" s="48">
        <v>54</v>
      </c>
      <c r="L174" s="43"/>
      <c r="M174" s="43"/>
      <c r="N174" s="43"/>
    </row>
    <row r="175" spans="1:14" ht="15" customHeight="1" x14ac:dyDescent="0.3">
      <c r="A175" s="6">
        <f>ROW(Wydatki[[#This Row],[Amount]])-8</f>
        <v>167</v>
      </c>
      <c r="B175" s="22">
        <v>50</v>
      </c>
      <c r="C175" s="23" t="s">
        <v>56</v>
      </c>
      <c r="D175" s="23" t="str">
        <f>IF(COUNTIF(Wydatki[[#This Row],[Expenditure]],"*"&amp;"Parking"&amp;"*")=1,"Parking",IF(COUNTIF(Wydatki[[#This Row],[Expenditure]],"*"&amp;"Benzyna"&amp;"*")=1,"Benzyna","Inny wydatek"))</f>
        <v>Parking</v>
      </c>
      <c r="E175" s="25">
        <v>45260</v>
      </c>
      <c r="F175" s="26" t="s">
        <v>152</v>
      </c>
      <c r="G175" s="27" t="str">
        <f t="shared" si="12"/>
        <v/>
      </c>
      <c r="I175" s="49" t="s">
        <v>140</v>
      </c>
      <c r="J175" s="48">
        <v>601</v>
      </c>
      <c r="K175" s="48">
        <v>150.25</v>
      </c>
      <c r="L175" s="43"/>
      <c r="M175" s="43"/>
      <c r="N175" s="43"/>
    </row>
    <row r="176" spans="1:14" ht="15" customHeight="1" x14ac:dyDescent="0.3">
      <c r="A176" s="6">
        <f>ROW(Wydatki[[#This Row],[Amount]])-8</f>
        <v>168</v>
      </c>
      <c r="B176" s="22">
        <v>15</v>
      </c>
      <c r="C176" s="23" t="s">
        <v>3</v>
      </c>
      <c r="D176" s="23" t="str">
        <f>IF(COUNTIF(Wydatki[[#This Row],[Expenditure]],"*"&amp;"Parking"&amp;"*")=1,"Parking",IF(COUNTIF(Wydatki[[#This Row],[Expenditure]],"*"&amp;"Benzyna"&amp;"*")=1,"Benzyna","Inny wydatek"))</f>
        <v>Inny wydatek</v>
      </c>
      <c r="E176" s="25">
        <v>45267</v>
      </c>
      <c r="F176" s="26" t="s">
        <v>152</v>
      </c>
      <c r="G176" s="27" t="str">
        <f t="shared" si="12"/>
        <v/>
      </c>
      <c r="I176" s="49" t="s">
        <v>141</v>
      </c>
      <c r="J176" s="48">
        <v>276</v>
      </c>
      <c r="K176" s="48">
        <v>69</v>
      </c>
      <c r="L176" s="43"/>
      <c r="M176" s="43"/>
      <c r="N176" s="43"/>
    </row>
    <row r="177" spans="1:14" ht="15" customHeight="1" x14ac:dyDescent="0.3">
      <c r="A177" s="6">
        <f>ROW(Wydatki[[#This Row],[Amount]])-8</f>
        <v>169</v>
      </c>
      <c r="B177" s="22">
        <v>21</v>
      </c>
      <c r="C177" s="23" t="s">
        <v>50</v>
      </c>
      <c r="D177" s="23" t="str">
        <f>IF(COUNTIF(Wydatki[[#This Row],[Expenditure]],"*"&amp;"Parking"&amp;"*")=1,"Parking",IF(COUNTIF(Wydatki[[#This Row],[Expenditure]],"*"&amp;"Benzyna"&amp;"*")=1,"Benzyna","Inny wydatek"))</f>
        <v>Parking</v>
      </c>
      <c r="E177" s="25">
        <v>45276</v>
      </c>
      <c r="F177" s="26" t="s">
        <v>152</v>
      </c>
      <c r="G177" s="27" t="str">
        <f t="shared" si="12"/>
        <v/>
      </c>
      <c r="I177" s="49" t="s">
        <v>142</v>
      </c>
      <c r="J177" s="48">
        <v>171</v>
      </c>
      <c r="K177" s="48">
        <v>171</v>
      </c>
      <c r="L177" s="43"/>
      <c r="M177" s="43"/>
      <c r="N177" s="43"/>
    </row>
    <row r="178" spans="1:14" ht="15" customHeight="1" x14ac:dyDescent="0.3">
      <c r="A178" s="6">
        <f>ROW(Wydatki[[#This Row],[Amount]])-8</f>
        <v>170</v>
      </c>
      <c r="B178" s="22">
        <v>5</v>
      </c>
      <c r="C178" s="23" t="s">
        <v>50</v>
      </c>
      <c r="D178" s="23" t="str">
        <f>IF(COUNTIF(Wydatki[[#This Row],[Expenditure]],"*"&amp;"Parking"&amp;"*")=1,"Parking",IF(COUNTIF(Wydatki[[#This Row],[Expenditure]],"*"&amp;"Benzyna"&amp;"*")=1,"Benzyna","Inny wydatek"))</f>
        <v>Parking</v>
      </c>
      <c r="E178" s="25">
        <v>45284</v>
      </c>
      <c r="F178" s="26" t="s">
        <v>152</v>
      </c>
      <c r="G178" s="27" t="str">
        <f t="shared" si="12"/>
        <v/>
      </c>
      <c r="I178" s="49" t="s">
        <v>143</v>
      </c>
      <c r="J178" s="48">
        <v>479</v>
      </c>
      <c r="K178" s="48">
        <v>119.75</v>
      </c>
      <c r="L178" s="43"/>
      <c r="M178" s="43"/>
      <c r="N178" s="43"/>
    </row>
    <row r="179" spans="1:14" ht="15" customHeight="1" x14ac:dyDescent="0.3">
      <c r="A179" s="6">
        <f>ROW(Wydatki[[#This Row],[Amount]])-8</f>
        <v>171</v>
      </c>
      <c r="B179" s="22">
        <v>180</v>
      </c>
      <c r="C179" s="23" t="s">
        <v>102</v>
      </c>
      <c r="D179" s="23" t="str">
        <f>IF(COUNTIF(Wydatki[[#This Row],[Expenditure]],"*"&amp;"Parking"&amp;"*")=1,"Parking",IF(COUNTIF(Wydatki[[#This Row],[Expenditure]],"*"&amp;"Benzyna"&amp;"*")=1,"Benzyna","Inny wydatek"))</f>
        <v>Benzyna</v>
      </c>
      <c r="E179" s="25">
        <v>45284</v>
      </c>
      <c r="F179" s="26" t="s">
        <v>152</v>
      </c>
      <c r="G179" s="27">
        <f t="shared" si="12"/>
        <v>6.101694915254237</v>
      </c>
      <c r="I179" s="49" t="s">
        <v>144</v>
      </c>
      <c r="J179" s="48">
        <v>506</v>
      </c>
      <c r="K179" s="48">
        <v>126.5</v>
      </c>
      <c r="L179" s="43"/>
      <c r="M179" s="43"/>
      <c r="N179" s="43"/>
    </row>
    <row r="180" spans="1:14" ht="15" customHeight="1" x14ac:dyDescent="0.3">
      <c r="A180" s="6">
        <f>ROW(Wydatki[[#This Row],[Amount]])-8</f>
        <v>172</v>
      </c>
      <c r="B180" s="22">
        <v>126</v>
      </c>
      <c r="C180" s="23" t="s">
        <v>74</v>
      </c>
      <c r="D180" s="23" t="str">
        <f>IF(COUNTIF(Wydatki[[#This Row],[Expenditure]],"*"&amp;"Parking"&amp;"*")=1,"Parking",IF(COUNTIF(Wydatki[[#This Row],[Expenditure]],"*"&amp;"Benzyna"&amp;"*")=1,"Benzyna","Inny wydatek"))</f>
        <v>Benzyna</v>
      </c>
      <c r="E180" s="25">
        <v>45293</v>
      </c>
      <c r="F180" s="26" t="s">
        <v>152</v>
      </c>
      <c r="G180" s="27">
        <f t="shared" si="12"/>
        <v>6.0287081339712927</v>
      </c>
      <c r="I180" s="49" t="s">
        <v>145</v>
      </c>
      <c r="J180" s="48">
        <v>1496</v>
      </c>
      <c r="K180" s="48">
        <v>498.66666666666669</v>
      </c>
      <c r="L180" s="43"/>
      <c r="M180" s="43"/>
      <c r="N180" s="43"/>
    </row>
    <row r="181" spans="1:14" ht="15" customHeight="1" x14ac:dyDescent="0.3">
      <c r="A181" s="6">
        <f>ROW(Wydatki[[#This Row],[Amount]])-8</f>
        <v>173</v>
      </c>
      <c r="B181" s="22">
        <v>100</v>
      </c>
      <c r="C181" s="23" t="s">
        <v>103</v>
      </c>
      <c r="D181" s="23" t="str">
        <f>IF(COUNTIF(Wydatki[[#This Row],[Expenditure]],"*"&amp;"Parking"&amp;"*")=1,"Parking",IF(COUNTIF(Wydatki[[#This Row],[Expenditure]],"*"&amp;"Benzyna"&amp;"*")=1,"Benzyna","Inny wydatek"))</f>
        <v>Inny wydatek</v>
      </c>
      <c r="E181" s="25">
        <v>45294</v>
      </c>
      <c r="F181" s="26" t="s">
        <v>152</v>
      </c>
      <c r="G181" s="27" t="str">
        <f t="shared" si="12"/>
        <v/>
      </c>
      <c r="I181" s="49" t="s">
        <v>146</v>
      </c>
      <c r="J181" s="48">
        <v>633</v>
      </c>
      <c r="K181" s="48">
        <v>79.125</v>
      </c>
      <c r="L181" s="43"/>
      <c r="M181" s="43"/>
      <c r="N181" s="43"/>
    </row>
    <row r="182" spans="1:14" ht="15" customHeight="1" x14ac:dyDescent="0.3">
      <c r="A182" s="6">
        <f>ROW(Wydatki[[#This Row],[Amount]])-8</f>
        <v>174</v>
      </c>
      <c r="B182" s="22">
        <v>179</v>
      </c>
      <c r="C182" s="23" t="s">
        <v>104</v>
      </c>
      <c r="D182" s="23" t="str">
        <f>IF(COUNTIF(Wydatki[[#This Row],[Expenditure]],"*"&amp;"Parking"&amp;"*")=1,"Parking",IF(COUNTIF(Wydatki[[#This Row],[Expenditure]],"*"&amp;"Benzyna"&amp;"*")=1,"Benzyna","Inny wydatek"))</f>
        <v>Benzyna</v>
      </c>
      <c r="E182" s="25">
        <v>45321</v>
      </c>
      <c r="F182" s="26" t="s">
        <v>153</v>
      </c>
      <c r="G182" s="27">
        <f t="shared" si="12"/>
        <v>6.1301369863013697</v>
      </c>
      <c r="I182" s="43" t="s">
        <v>197</v>
      </c>
      <c r="J182" s="48">
        <v>36461</v>
      </c>
      <c r="K182" s="48">
        <v>168.02304147465438</v>
      </c>
      <c r="L182" s="43"/>
      <c r="M182" s="43"/>
      <c r="N182" s="43"/>
    </row>
    <row r="183" spans="1:14" ht="15" customHeight="1" x14ac:dyDescent="0.3">
      <c r="A183" s="6">
        <f>ROW(Wydatki[[#This Row],[Amount]])-8</f>
        <v>175</v>
      </c>
      <c r="B183" s="22">
        <v>152</v>
      </c>
      <c r="C183" s="23" t="s">
        <v>105</v>
      </c>
      <c r="D183" s="23" t="str">
        <f>IF(COUNTIF(Wydatki[[#This Row],[Expenditure]],"*"&amp;"Parking"&amp;"*")=1,"Parking",IF(COUNTIF(Wydatki[[#This Row],[Expenditure]],"*"&amp;"Benzyna"&amp;"*")=1,"Benzyna","Inny wydatek"))</f>
        <v>Benzyna</v>
      </c>
      <c r="E183" s="25">
        <v>45338</v>
      </c>
      <c r="F183" s="26" t="s">
        <v>152</v>
      </c>
      <c r="G183" s="27">
        <f t="shared" si="12"/>
        <v>6.386554621848739</v>
      </c>
      <c r="M183" s="43"/>
      <c r="N183" s="43"/>
    </row>
    <row r="184" spans="1:14" ht="15" customHeight="1" x14ac:dyDescent="0.3">
      <c r="A184" s="6">
        <f>ROW(Wydatki[[#This Row],[Amount]])-8</f>
        <v>176</v>
      </c>
      <c r="B184" s="22">
        <v>6</v>
      </c>
      <c r="C184" s="23" t="s">
        <v>50</v>
      </c>
      <c r="D184" s="23" t="str">
        <f>IF(COUNTIF(Wydatki[[#This Row],[Expenditure]],"*"&amp;"Parking"&amp;"*")=1,"Parking",IF(COUNTIF(Wydatki[[#This Row],[Expenditure]],"*"&amp;"Benzyna"&amp;"*")=1,"Benzyna","Inny wydatek"))</f>
        <v>Parking</v>
      </c>
      <c r="E184" s="25">
        <v>45340</v>
      </c>
      <c r="F184" s="26" t="s">
        <v>152</v>
      </c>
      <c r="G184" s="27" t="str">
        <f t="shared" si="12"/>
        <v/>
      </c>
      <c r="I184" s="47" t="s">
        <v>193</v>
      </c>
      <c r="J184" s="43"/>
      <c r="M184" s="43"/>
      <c r="N184" s="43"/>
    </row>
    <row r="185" spans="1:14" ht="15" customHeight="1" x14ac:dyDescent="0.3">
      <c r="A185" s="6">
        <f>ROW(Wydatki[[#This Row],[Amount]])-8</f>
        <v>177</v>
      </c>
      <c r="B185" s="22">
        <v>159</v>
      </c>
      <c r="C185" s="23" t="s">
        <v>106</v>
      </c>
      <c r="D185" s="23" t="str">
        <f>IF(COUNTIF(Wydatki[[#This Row],[Expenditure]],"*"&amp;"Parking"&amp;"*")=1,"Parking",IF(COUNTIF(Wydatki[[#This Row],[Expenditure]],"*"&amp;"Benzyna"&amp;"*")=1,"Benzyna","Inny wydatek"))</f>
        <v>Benzyna</v>
      </c>
      <c r="E185" s="25">
        <v>45352</v>
      </c>
      <c r="F185" s="26" t="s">
        <v>152</v>
      </c>
      <c r="G185" s="27">
        <f t="shared" si="12"/>
        <v>6.3855421686746991</v>
      </c>
      <c r="I185" s="43" t="s">
        <v>191</v>
      </c>
      <c r="J185" s="50">
        <v>6.1866783653390485</v>
      </c>
      <c r="M185" s="43"/>
      <c r="N185" s="43"/>
    </row>
    <row r="186" spans="1:14" ht="15" customHeight="1" x14ac:dyDescent="0.3">
      <c r="A186" s="6">
        <f>ROW(Wydatki[[#This Row],[Amount]])-8</f>
        <v>178</v>
      </c>
      <c r="B186" s="22">
        <v>140</v>
      </c>
      <c r="C186" s="23" t="s">
        <v>107</v>
      </c>
      <c r="D186" s="23" t="str">
        <f>IF(COUNTIF(Wydatki[[#This Row],[Expenditure]],"*"&amp;"Parking"&amp;"*")=1,"Parking",IF(COUNTIF(Wydatki[[#This Row],[Expenditure]],"*"&amp;"Benzyna"&amp;"*")=1,"Benzyna","Inny wydatek"))</f>
        <v>Benzyna</v>
      </c>
      <c r="E186" s="25">
        <v>45359</v>
      </c>
      <c r="F186" s="26" t="s">
        <v>152</v>
      </c>
      <c r="G186" s="27">
        <f t="shared" si="12"/>
        <v>6.3348416289592757</v>
      </c>
      <c r="I186" s="43" t="s">
        <v>194</v>
      </c>
      <c r="J186" s="50">
        <v>7.6221498371335503</v>
      </c>
      <c r="M186" s="43"/>
      <c r="N186" s="43"/>
    </row>
    <row r="187" spans="1:14" ht="15" customHeight="1" x14ac:dyDescent="0.3">
      <c r="A187" s="6">
        <f>ROW(Wydatki[[#This Row],[Amount]])-8</f>
        <v>179</v>
      </c>
      <c r="B187" s="22">
        <v>50</v>
      </c>
      <c r="C187" s="23" t="s">
        <v>56</v>
      </c>
      <c r="D187" s="23" t="str">
        <f>IF(COUNTIF(Wydatki[[#This Row],[Expenditure]],"*"&amp;"Parking"&amp;"*")=1,"Parking",IF(COUNTIF(Wydatki[[#This Row],[Expenditure]],"*"&amp;"Benzyna"&amp;"*")=1,"Benzyna","Inny wydatek"))</f>
        <v>Parking</v>
      </c>
      <c r="E187" s="25">
        <v>45360</v>
      </c>
      <c r="F187" s="26" t="s">
        <v>152</v>
      </c>
      <c r="G187" s="27" t="str">
        <f t="shared" si="12"/>
        <v/>
      </c>
      <c r="I187" s="43" t="s">
        <v>195</v>
      </c>
      <c r="J187" s="50">
        <v>4.6691176470588234</v>
      </c>
      <c r="M187" s="43"/>
      <c r="N187" s="43"/>
    </row>
    <row r="188" spans="1:14" ht="15" customHeight="1" x14ac:dyDescent="0.3">
      <c r="A188" s="6">
        <f>ROW(Wydatki[[#This Row],[Amount]])-8</f>
        <v>180</v>
      </c>
      <c r="B188" s="22">
        <v>140</v>
      </c>
      <c r="C188" s="23" t="s">
        <v>108</v>
      </c>
      <c r="D188" s="23" t="str">
        <f>IF(COUNTIF(Wydatki[[#This Row],[Expenditure]],"*"&amp;"Parking"&amp;"*")=1,"Parking",IF(COUNTIF(Wydatki[[#This Row],[Expenditure]],"*"&amp;"Benzyna"&amp;"*")=1,"Benzyna","Inny wydatek"))</f>
        <v>Benzyna</v>
      </c>
      <c r="E188" s="25">
        <v>45380</v>
      </c>
      <c r="F188" s="26" t="s">
        <v>152</v>
      </c>
      <c r="G188" s="27">
        <f t="shared" si="12"/>
        <v>6.4516129032258069</v>
      </c>
      <c r="I188" s="43" t="s">
        <v>196</v>
      </c>
      <c r="J188" s="50">
        <v>0.5313752743734792</v>
      </c>
      <c r="M188" s="43"/>
      <c r="N188" s="43"/>
    </row>
    <row r="189" spans="1:14" ht="15" customHeight="1" x14ac:dyDescent="0.3">
      <c r="A189" s="6">
        <f>ROW(Wydatki[[#This Row],[Amount]])-8</f>
        <v>181</v>
      </c>
      <c r="B189" s="22">
        <v>141</v>
      </c>
      <c r="C189" s="23" t="s">
        <v>55</v>
      </c>
      <c r="D189" s="23" t="str">
        <f>IF(COUNTIF(Wydatki[[#This Row],[Expenditure]],"*"&amp;"Parking"&amp;"*")=1,"Parking",IF(COUNTIF(Wydatki[[#This Row],[Expenditure]],"*"&amp;"Benzyna"&amp;"*")=1,"Benzyna","Inny wydatek"))</f>
        <v>Benzyna</v>
      </c>
      <c r="E189" s="25">
        <v>45387</v>
      </c>
      <c r="F189" s="26" t="s">
        <v>152</v>
      </c>
      <c r="G189" s="27">
        <f t="shared" si="12"/>
        <v>6.558139534883721</v>
      </c>
      <c r="I189" s="43"/>
      <c r="M189" s="43"/>
      <c r="N189" s="43"/>
    </row>
    <row r="190" spans="1:14" ht="15" customHeight="1" x14ac:dyDescent="0.3">
      <c r="A190" s="6">
        <f>ROW(Wydatki[[#This Row],[Amount]])-8</f>
        <v>182</v>
      </c>
      <c r="B190" s="22">
        <v>203</v>
      </c>
      <c r="C190" s="23" t="s">
        <v>109</v>
      </c>
      <c r="D190" s="23" t="str">
        <f>IF(COUNTIF(Wydatki[[#This Row],[Expenditure]],"*"&amp;"Parking"&amp;"*")=1,"Parking",IF(COUNTIF(Wydatki[[#This Row],[Expenditure]],"*"&amp;"Benzyna"&amp;"*")=1,"Benzyna","Inny wydatek"))</f>
        <v>Benzyna</v>
      </c>
      <c r="E190" s="25">
        <v>45404</v>
      </c>
      <c r="F190" s="26" t="s">
        <v>152</v>
      </c>
      <c r="G190" s="27">
        <f t="shared" si="12"/>
        <v>6.7666666666666666</v>
      </c>
      <c r="I190" s="43"/>
      <c r="M190" s="43"/>
      <c r="N190" s="43"/>
    </row>
    <row r="191" spans="1:14" ht="15" customHeight="1" x14ac:dyDescent="0.3">
      <c r="A191" s="6">
        <f>ROW(Wydatki[[#This Row],[Amount]])-8</f>
        <v>183</v>
      </c>
      <c r="B191" s="22">
        <v>98</v>
      </c>
      <c r="C191" s="23" t="s">
        <v>27</v>
      </c>
      <c r="D191" s="23" t="str">
        <f>IF(COUNTIF(Wydatki[[#This Row],[Expenditure]],"*"&amp;"Parking"&amp;"*")=1,"Parking",IF(COUNTIF(Wydatki[[#This Row],[Expenditure]],"*"&amp;"Benzyna"&amp;"*")=1,"Benzyna","Inny wydatek"))</f>
        <v>Inny wydatek</v>
      </c>
      <c r="E191" s="25">
        <v>45407</v>
      </c>
      <c r="F191" s="26" t="s">
        <v>152</v>
      </c>
      <c r="G191" s="27" t="str">
        <f t="shared" si="12"/>
        <v/>
      </c>
      <c r="I191" s="43"/>
      <c r="M191" s="43"/>
      <c r="N191" s="43"/>
    </row>
    <row r="192" spans="1:14" ht="15" customHeight="1" x14ac:dyDescent="0.3">
      <c r="A192" s="6">
        <f>ROW(Wydatki[[#This Row],[Amount]])-8</f>
        <v>184</v>
      </c>
      <c r="B192" s="22">
        <v>20</v>
      </c>
      <c r="C192" s="23" t="s">
        <v>14</v>
      </c>
      <c r="D192" s="23" t="str">
        <f>IF(COUNTIF(Wydatki[[#This Row],[Expenditure]],"*"&amp;"Parking"&amp;"*")=1,"Parking",IF(COUNTIF(Wydatki[[#This Row],[Expenditure]],"*"&amp;"Benzyna"&amp;"*")=1,"Benzyna","Inny wydatek"))</f>
        <v>Inny wydatek</v>
      </c>
      <c r="E192" s="25">
        <v>45404</v>
      </c>
      <c r="F192" s="26" t="s">
        <v>152</v>
      </c>
      <c r="G192" s="27" t="str">
        <f t="shared" si="12"/>
        <v/>
      </c>
    </row>
    <row r="193" spans="1:14" ht="15" customHeight="1" x14ac:dyDescent="0.3">
      <c r="A193" s="6">
        <f>ROW(Wydatki[[#This Row],[Amount]])-8</f>
        <v>185</v>
      </c>
      <c r="B193" s="22">
        <v>185</v>
      </c>
      <c r="C193" s="23" t="s">
        <v>110</v>
      </c>
      <c r="D193" s="23" t="str">
        <f>IF(COUNTIF(Wydatki[[#This Row],[Expenditure]],"*"&amp;"Parking"&amp;"*")=1,"Parking",IF(COUNTIF(Wydatki[[#This Row],[Expenditure]],"*"&amp;"Benzyna"&amp;"*")=1,"Benzyna","Inny wydatek"))</f>
        <v>Benzyna</v>
      </c>
      <c r="E193" s="25">
        <v>45404</v>
      </c>
      <c r="F193" s="26" t="s">
        <v>152</v>
      </c>
      <c r="G193" s="27">
        <f t="shared" si="12"/>
        <v>6.6071428571428568</v>
      </c>
      <c r="I193" s="43"/>
      <c r="M193" s="43"/>
      <c r="N193" s="43"/>
    </row>
    <row r="194" spans="1:14" ht="15" customHeight="1" x14ac:dyDescent="0.3">
      <c r="A194" s="6">
        <f>ROW(Wydatki[[#This Row],[Amount]])-8</f>
        <v>186</v>
      </c>
      <c r="B194" s="22">
        <v>30</v>
      </c>
      <c r="C194" s="23" t="s">
        <v>56</v>
      </c>
      <c r="D194" s="23" t="str">
        <f>IF(COUNTIF(Wydatki[[#This Row],[Expenditure]],"*"&amp;"Parking"&amp;"*")=1,"Parking",IF(COUNTIF(Wydatki[[#This Row],[Expenditure]],"*"&amp;"Benzyna"&amp;"*")=1,"Benzyna","Inny wydatek"))</f>
        <v>Parking</v>
      </c>
      <c r="E194" s="25">
        <v>45417</v>
      </c>
      <c r="F194" s="26" t="s">
        <v>152</v>
      </c>
      <c r="G194" s="27" t="str">
        <f t="shared" si="12"/>
        <v/>
      </c>
      <c r="I194" s="43"/>
      <c r="M194" s="43"/>
      <c r="N194" s="43"/>
    </row>
    <row r="195" spans="1:14" ht="15" customHeight="1" x14ac:dyDescent="0.3">
      <c r="A195" s="6">
        <f>ROW(Wydatki[[#This Row],[Amount]])-8</f>
        <v>187</v>
      </c>
      <c r="B195" s="22">
        <v>21</v>
      </c>
      <c r="C195" s="23" t="s">
        <v>50</v>
      </c>
      <c r="D195" s="23" t="str">
        <f>IF(COUNTIF(Wydatki[[#This Row],[Expenditure]],"*"&amp;"Parking"&amp;"*")=1,"Parking",IF(COUNTIF(Wydatki[[#This Row],[Expenditure]],"*"&amp;"Benzyna"&amp;"*")=1,"Benzyna","Inny wydatek"))</f>
        <v>Parking</v>
      </c>
      <c r="E195" s="25">
        <v>45430</v>
      </c>
      <c r="F195" s="26" t="s">
        <v>152</v>
      </c>
      <c r="G195" s="27" t="str">
        <f t="shared" si="12"/>
        <v/>
      </c>
      <c r="I195" s="43"/>
      <c r="M195" s="43"/>
      <c r="N195" s="43"/>
    </row>
    <row r="196" spans="1:14" ht="15" customHeight="1" x14ac:dyDescent="0.3">
      <c r="A196" s="6">
        <f>ROW(Wydatki[[#This Row],[Amount]])-8</f>
        <v>188</v>
      </c>
      <c r="B196" s="22">
        <v>160</v>
      </c>
      <c r="C196" s="23" t="s">
        <v>111</v>
      </c>
      <c r="D196" s="23" t="str">
        <f>IF(COUNTIF(Wydatki[[#This Row],[Expenditure]],"*"&amp;"Parking"&amp;"*")=1,"Parking",IF(COUNTIF(Wydatki[[#This Row],[Expenditure]],"*"&amp;"Benzyna"&amp;"*")=1,"Benzyna","Inny wydatek"))</f>
        <v>Benzyna</v>
      </c>
      <c r="E196" s="25">
        <v>45431</v>
      </c>
      <c r="F196" s="26" t="s">
        <v>152</v>
      </c>
      <c r="G196" s="27">
        <f t="shared" si="12"/>
        <v>6.5306122448979593</v>
      </c>
      <c r="I196" s="43"/>
      <c r="M196" s="43"/>
      <c r="N196" s="43"/>
    </row>
    <row r="197" spans="1:14" ht="15" customHeight="1" x14ac:dyDescent="0.3">
      <c r="A197" s="6">
        <f>ROW(Wydatki[[#This Row],[Amount]])-8</f>
        <v>189</v>
      </c>
      <c r="B197" s="22">
        <v>5</v>
      </c>
      <c r="C197" s="23" t="s">
        <v>50</v>
      </c>
      <c r="D197" s="23" t="str">
        <f>IF(COUNTIF(Wydatki[[#This Row],[Expenditure]],"*"&amp;"Parking"&amp;"*")=1,"Parking",IF(COUNTIF(Wydatki[[#This Row],[Expenditure]],"*"&amp;"Benzyna"&amp;"*")=1,"Benzyna","Inny wydatek"))</f>
        <v>Parking</v>
      </c>
      <c r="E197" s="25">
        <v>45439</v>
      </c>
      <c r="F197" s="26" t="s">
        <v>152</v>
      </c>
      <c r="G197" s="27" t="str">
        <f t="shared" si="12"/>
        <v/>
      </c>
      <c r="I197" s="43"/>
      <c r="M197" s="43"/>
      <c r="N197" s="43"/>
    </row>
    <row r="198" spans="1:14" ht="15" customHeight="1" x14ac:dyDescent="0.3">
      <c r="A198" s="6">
        <f>ROW(Wydatki[[#This Row],[Amount]])-8</f>
        <v>190</v>
      </c>
      <c r="B198" s="22">
        <v>25</v>
      </c>
      <c r="C198" s="23" t="s">
        <v>50</v>
      </c>
      <c r="D198" s="23" t="str">
        <f>IF(COUNTIF(Wydatki[[#This Row],[Expenditure]],"*"&amp;"Parking"&amp;"*")=1,"Parking",IF(COUNTIF(Wydatki[[#This Row],[Expenditure]],"*"&amp;"Benzyna"&amp;"*")=1,"Benzyna","Inny wydatek"))</f>
        <v>Parking</v>
      </c>
      <c r="E198" s="25">
        <v>45444</v>
      </c>
      <c r="F198" s="26" t="s">
        <v>152</v>
      </c>
      <c r="G198" s="27" t="str">
        <f t="shared" si="12"/>
        <v/>
      </c>
      <c r="I198" s="43"/>
      <c r="M198" s="43"/>
      <c r="N198" s="43"/>
    </row>
    <row r="199" spans="1:14" ht="15" customHeight="1" x14ac:dyDescent="0.3">
      <c r="A199" s="6">
        <f>ROW(Wydatki[[#This Row],[Amount]])-8</f>
        <v>191</v>
      </c>
      <c r="B199" s="22">
        <v>202</v>
      </c>
      <c r="C199" s="23" t="s">
        <v>112</v>
      </c>
      <c r="D199" s="23" t="str">
        <f>IF(COUNTIF(Wydatki[[#This Row],[Expenditure]],"*"&amp;"Parking"&amp;"*")=1,"Parking",IF(COUNTIF(Wydatki[[#This Row],[Expenditure]],"*"&amp;"Benzyna"&amp;"*")=1,"Benzyna","Inny wydatek"))</f>
        <v>Benzyna</v>
      </c>
      <c r="E199" s="25">
        <v>45444</v>
      </c>
      <c r="F199" s="26" t="s">
        <v>152</v>
      </c>
      <c r="G199" s="27">
        <f t="shared" si="12"/>
        <v>6.4331210191082802</v>
      </c>
      <c r="I199" s="43"/>
      <c r="M199" s="43"/>
      <c r="N199" s="43"/>
    </row>
    <row r="200" spans="1:14" ht="15" customHeight="1" x14ac:dyDescent="0.3">
      <c r="A200" s="6">
        <f>ROW(Wydatki[[#This Row],[Amount]])-8</f>
        <v>192</v>
      </c>
      <c r="B200" s="22">
        <v>184</v>
      </c>
      <c r="C200" s="23" t="s">
        <v>113</v>
      </c>
      <c r="D200" s="23" t="str">
        <f>IF(COUNTIF(Wydatki[[#This Row],[Expenditure]],"*"&amp;"Parking"&amp;"*")=1,"Parking",IF(COUNTIF(Wydatki[[#This Row],[Expenditure]],"*"&amp;"Benzyna"&amp;"*")=1,"Benzyna","Inny wydatek"))</f>
        <v>Benzyna</v>
      </c>
      <c r="E200" s="25">
        <v>45457</v>
      </c>
      <c r="F200" s="26" t="s">
        <v>152</v>
      </c>
      <c r="G200" s="27">
        <f t="shared" si="12"/>
        <v>6.4561403508771926</v>
      </c>
      <c r="I200" s="43"/>
      <c r="M200" s="43"/>
      <c r="N200" s="43"/>
    </row>
    <row r="201" spans="1:14" ht="15" customHeight="1" x14ac:dyDescent="0.3">
      <c r="A201" s="6">
        <f>ROW(Wydatki[[#This Row],[Amount]])-8</f>
        <v>193</v>
      </c>
      <c r="B201" s="22">
        <v>190</v>
      </c>
      <c r="C201" s="23" t="s">
        <v>114</v>
      </c>
      <c r="D201" s="23" t="str">
        <f>IF(COUNTIF(Wydatki[[#This Row],[Expenditure]],"*"&amp;"Parking"&amp;"*")=1,"Parking",IF(COUNTIF(Wydatki[[#This Row],[Expenditure]],"*"&amp;"Benzyna"&amp;"*")=1,"Benzyna","Inny wydatek"))</f>
        <v>Benzyna</v>
      </c>
      <c r="E201" s="25">
        <v>45472</v>
      </c>
      <c r="F201" s="26" t="s">
        <v>153</v>
      </c>
      <c r="G201" s="27">
        <f t="shared" ref="G201:G225" si="13">IFERROR(B201/MID(C201,9,4),"")</f>
        <v>6.4189189189189184</v>
      </c>
      <c r="I201" s="43"/>
      <c r="M201" s="43"/>
      <c r="N201" s="43"/>
    </row>
    <row r="202" spans="1:14" ht="15" customHeight="1" x14ac:dyDescent="0.3">
      <c r="A202" s="6">
        <f>ROW(Wydatki[[#This Row],[Amount]])-8</f>
        <v>194</v>
      </c>
      <c r="B202" s="22">
        <v>7</v>
      </c>
      <c r="C202" s="23" t="s">
        <v>50</v>
      </c>
      <c r="D202" s="23" t="str">
        <f>IF(COUNTIF(Wydatki[[#This Row],[Expenditure]],"*"&amp;"Parking"&amp;"*")=1,"Parking",IF(COUNTIF(Wydatki[[#This Row],[Expenditure]],"*"&amp;"Benzyna"&amp;"*")=1,"Benzyna","Inny wydatek"))</f>
        <v>Parking</v>
      </c>
      <c r="E202" s="25">
        <v>45486</v>
      </c>
      <c r="F202" s="26" t="s">
        <v>153</v>
      </c>
      <c r="G202" s="27" t="str">
        <f t="shared" si="13"/>
        <v/>
      </c>
      <c r="I202" s="43"/>
      <c r="M202" s="43"/>
      <c r="N202" s="43"/>
    </row>
    <row r="203" spans="1:14" ht="15" customHeight="1" x14ac:dyDescent="0.3">
      <c r="A203" s="6">
        <f>ROW(Wydatki[[#This Row],[Amount]])-8</f>
        <v>195</v>
      </c>
      <c r="B203" s="22">
        <v>14</v>
      </c>
      <c r="C203" s="23" t="s">
        <v>50</v>
      </c>
      <c r="D203" s="23" t="str">
        <f>IF(COUNTIF(Wydatki[[#This Row],[Expenditure]],"*"&amp;"Parking"&amp;"*")=1,"Parking",IF(COUNTIF(Wydatki[[#This Row],[Expenditure]],"*"&amp;"Benzyna"&amp;"*")=1,"Benzyna","Inny wydatek"))</f>
        <v>Parking</v>
      </c>
      <c r="E203" s="25">
        <v>45487</v>
      </c>
      <c r="F203" s="26" t="s">
        <v>152</v>
      </c>
      <c r="G203" s="27" t="str">
        <f t="shared" si="13"/>
        <v/>
      </c>
      <c r="I203" s="43"/>
      <c r="M203" s="43"/>
      <c r="N203" s="43"/>
    </row>
    <row r="204" spans="1:14" ht="15" customHeight="1" x14ac:dyDescent="0.3">
      <c r="A204" s="6">
        <f>ROW(Wydatki[[#This Row],[Amount]])-8</f>
        <v>196</v>
      </c>
      <c r="B204" s="22">
        <v>113</v>
      </c>
      <c r="C204" s="23" t="s">
        <v>115</v>
      </c>
      <c r="D204" s="23" t="str">
        <f>IF(COUNTIF(Wydatki[[#This Row],[Expenditure]],"*"&amp;"Parking"&amp;"*")=1,"Parking",IF(COUNTIF(Wydatki[[#This Row],[Expenditure]],"*"&amp;"Benzyna"&amp;"*")=1,"Benzyna","Inny wydatek"))</f>
        <v>Benzyna</v>
      </c>
      <c r="E204" s="25">
        <v>45487</v>
      </c>
      <c r="F204" s="26" t="s">
        <v>152</v>
      </c>
      <c r="G204" s="27">
        <f t="shared" si="13"/>
        <v>6.3483146067415728</v>
      </c>
      <c r="I204" s="43"/>
      <c r="M204" s="43"/>
      <c r="N204" s="43"/>
    </row>
    <row r="205" spans="1:14" ht="15" customHeight="1" x14ac:dyDescent="0.3">
      <c r="A205" s="6">
        <f>ROW(Wydatki[[#This Row],[Amount]])-8</f>
        <v>197</v>
      </c>
      <c r="B205" s="22">
        <v>142</v>
      </c>
      <c r="C205" s="23" t="s">
        <v>116</v>
      </c>
      <c r="D205" s="23" t="str">
        <f>IF(COUNTIF(Wydatki[[#This Row],[Expenditure]],"*"&amp;"Parking"&amp;"*")=1,"Parking",IF(COUNTIF(Wydatki[[#This Row],[Expenditure]],"*"&amp;"Benzyna"&amp;"*")=1,"Benzyna","Inny wydatek"))</f>
        <v>Benzyna</v>
      </c>
      <c r="E205" s="25">
        <v>45494</v>
      </c>
      <c r="F205" s="26" t="s">
        <v>152</v>
      </c>
      <c r="G205" s="27">
        <f t="shared" si="13"/>
        <v>6.2831858407079642</v>
      </c>
      <c r="I205" s="43"/>
      <c r="M205" s="43"/>
      <c r="N205" s="43"/>
    </row>
    <row r="206" spans="1:14" ht="15" customHeight="1" x14ac:dyDescent="0.3">
      <c r="A206" s="6">
        <f>ROW(Wydatki[[#This Row],[Amount]])-8</f>
        <v>198</v>
      </c>
      <c r="B206" s="22">
        <v>171</v>
      </c>
      <c r="C206" s="23" t="s">
        <v>117</v>
      </c>
      <c r="D206" s="23" t="str">
        <f>IF(COUNTIF(Wydatki[[#This Row],[Expenditure]],"*"&amp;"Parking"&amp;"*")=1,"Parking",IF(COUNTIF(Wydatki[[#This Row],[Expenditure]],"*"&amp;"Benzyna"&amp;"*")=1,"Benzyna","Inny wydatek"))</f>
        <v>Benzyna</v>
      </c>
      <c r="E206" s="25">
        <v>45516</v>
      </c>
      <c r="F206" s="26" t="s">
        <v>152</v>
      </c>
      <c r="G206" s="27">
        <f t="shared" si="13"/>
        <v>6.1732851985559565</v>
      </c>
      <c r="I206" s="43"/>
      <c r="M206" s="43"/>
      <c r="N206" s="43"/>
    </row>
    <row r="207" spans="1:14" ht="15" customHeight="1" x14ac:dyDescent="0.3">
      <c r="A207" s="6">
        <f>ROW(Wydatki[[#This Row],[Amount]])-8</f>
        <v>199</v>
      </c>
      <c r="B207" s="22">
        <v>170</v>
      </c>
      <c r="C207" s="23" t="s">
        <v>118</v>
      </c>
      <c r="D207" s="23" t="str">
        <f>IF(COUNTIF(Wydatki[[#This Row],[Expenditure]],"*"&amp;"Parking"&amp;"*")=1,"Parking",IF(COUNTIF(Wydatki[[#This Row],[Expenditure]],"*"&amp;"Benzyna"&amp;"*")=1,"Benzyna","Inny wydatek"))</f>
        <v>Benzyna</v>
      </c>
      <c r="E207" s="25">
        <v>45539</v>
      </c>
      <c r="F207" s="26" t="s">
        <v>152</v>
      </c>
      <c r="G207" s="27">
        <f t="shared" si="13"/>
        <v>6.2043795620437958</v>
      </c>
      <c r="I207" s="43"/>
      <c r="M207" s="43"/>
      <c r="N207" s="43"/>
    </row>
    <row r="208" spans="1:14" ht="15" customHeight="1" x14ac:dyDescent="0.3">
      <c r="A208" s="6">
        <f>ROW(Wydatki[[#This Row],[Amount]])-8</f>
        <v>200</v>
      </c>
      <c r="B208" s="22">
        <v>154</v>
      </c>
      <c r="C208" s="23" t="s">
        <v>25</v>
      </c>
      <c r="D208" s="23" t="str">
        <f>IF(COUNTIF(Wydatki[[#This Row],[Expenditure]],"*"&amp;"Parking"&amp;"*")=1,"Parking",IF(COUNTIF(Wydatki[[#This Row],[Expenditure]],"*"&amp;"Benzyna"&amp;"*")=1,"Benzyna","Inny wydatek"))</f>
        <v>Benzyna</v>
      </c>
      <c r="E208" s="25">
        <v>45549</v>
      </c>
      <c r="F208" s="26" t="s">
        <v>152</v>
      </c>
      <c r="G208" s="27">
        <f t="shared" si="13"/>
        <v>6.1111111111111116</v>
      </c>
      <c r="I208" s="43"/>
      <c r="M208" s="43"/>
      <c r="N208" s="43"/>
    </row>
    <row r="209" spans="1:14" ht="15" customHeight="1" x14ac:dyDescent="0.3">
      <c r="A209" s="6">
        <f>ROW(Wydatki[[#This Row],[Amount]])-8</f>
        <v>201</v>
      </c>
      <c r="B209" s="22">
        <v>40</v>
      </c>
      <c r="C209" s="23" t="s">
        <v>56</v>
      </c>
      <c r="D209" s="23" t="str">
        <f>IF(COUNTIF(Wydatki[[#This Row],[Expenditure]],"*"&amp;"Parking"&amp;"*")=1,"Parking",IF(COUNTIF(Wydatki[[#This Row],[Expenditure]],"*"&amp;"Benzyna"&amp;"*")=1,"Benzyna","Inny wydatek"))</f>
        <v>Parking</v>
      </c>
      <c r="E209" s="25">
        <v>45559</v>
      </c>
      <c r="F209" s="26" t="s">
        <v>152</v>
      </c>
      <c r="G209" s="27" t="str">
        <f t="shared" si="13"/>
        <v/>
      </c>
      <c r="I209" s="43"/>
      <c r="M209" s="43"/>
      <c r="N209" s="43"/>
    </row>
    <row r="210" spans="1:14" ht="15" customHeight="1" x14ac:dyDescent="0.3">
      <c r="A210" s="6">
        <f>ROW(Wydatki[[#This Row],[Amount]])-8</f>
        <v>202</v>
      </c>
      <c r="B210" s="22">
        <v>115</v>
      </c>
      <c r="C210" s="23" t="s">
        <v>79</v>
      </c>
      <c r="D210" s="23" t="str">
        <f>IF(COUNTIF(Wydatki[[#This Row],[Expenditure]],"*"&amp;"Parking"&amp;"*")=1,"Parking",IF(COUNTIF(Wydatki[[#This Row],[Expenditure]],"*"&amp;"Benzyna"&amp;"*")=1,"Benzyna","Inny wydatek"))</f>
        <v>Benzyna</v>
      </c>
      <c r="E210" s="25">
        <v>45564</v>
      </c>
      <c r="F210" s="26" t="s">
        <v>152</v>
      </c>
      <c r="G210" s="27">
        <f t="shared" si="13"/>
        <v>5.9895833333333339</v>
      </c>
      <c r="I210" s="43"/>
      <c r="M210" s="43"/>
      <c r="N210" s="43"/>
    </row>
    <row r="211" spans="1:14" ht="15" customHeight="1" x14ac:dyDescent="0.3">
      <c r="A211" s="6">
        <f>ROW(Wydatki[[#This Row],[Amount]])-8</f>
        <v>203</v>
      </c>
      <c r="B211" s="22">
        <v>94</v>
      </c>
      <c r="C211" s="23" t="s">
        <v>119</v>
      </c>
      <c r="D211" s="23" t="str">
        <f>IF(COUNTIF(Wydatki[[#This Row],[Expenditure]],"*"&amp;"Parking"&amp;"*")=1,"Parking",IF(COUNTIF(Wydatki[[#This Row],[Expenditure]],"*"&amp;"Benzyna"&amp;"*")=1,"Benzyna","Inny wydatek"))</f>
        <v>Benzyna</v>
      </c>
      <c r="E211" s="25">
        <v>45569</v>
      </c>
      <c r="F211" s="26" t="s">
        <v>152</v>
      </c>
      <c r="G211" s="27">
        <f t="shared" si="13"/>
        <v>5.9872611464968157</v>
      </c>
      <c r="I211" s="43"/>
    </row>
    <row r="212" spans="1:14" ht="15" customHeight="1" x14ac:dyDescent="0.3">
      <c r="A212" s="6">
        <f>ROW(Wydatki[[#This Row],[Amount]])-8</f>
        <v>204</v>
      </c>
      <c r="B212" s="22">
        <v>50</v>
      </c>
      <c r="C212" s="23" t="s">
        <v>56</v>
      </c>
      <c r="D212" s="23" t="str">
        <f>IF(COUNTIF(Wydatki[[#This Row],[Expenditure]],"*"&amp;"Parking"&amp;"*")=1,"Parking",IF(COUNTIF(Wydatki[[#This Row],[Expenditure]],"*"&amp;"Benzyna"&amp;"*")=1,"Benzyna","Inny wydatek"))</f>
        <v>Parking</v>
      </c>
      <c r="E212" s="25">
        <v>45577</v>
      </c>
      <c r="F212" s="26" t="s">
        <v>152</v>
      </c>
      <c r="G212" s="27" t="str">
        <f t="shared" si="13"/>
        <v/>
      </c>
      <c r="I212" s="43"/>
    </row>
    <row r="213" spans="1:14" ht="15" customHeight="1" x14ac:dyDescent="0.3">
      <c r="A213" s="6">
        <f>ROW(Wydatki[[#This Row],[Amount]])-8</f>
        <v>205</v>
      </c>
      <c r="B213" s="22">
        <v>185</v>
      </c>
      <c r="C213" s="23" t="s">
        <v>120</v>
      </c>
      <c r="D213" s="23" t="str">
        <f>IF(COUNTIF(Wydatki[[#This Row],[Expenditure]],"*"&amp;"Parking"&amp;"*")=1,"Parking",IF(COUNTIF(Wydatki[[#This Row],[Expenditure]],"*"&amp;"Benzyna"&amp;"*")=1,"Benzyna","Inny wydatek"))</f>
        <v>Benzyna</v>
      </c>
      <c r="E213" s="25">
        <v>45578</v>
      </c>
      <c r="F213" s="26" t="s">
        <v>152</v>
      </c>
      <c r="G213" s="27">
        <f t="shared" si="13"/>
        <v>6.1872909698996654</v>
      </c>
      <c r="I213" s="43"/>
    </row>
    <row r="214" spans="1:14" ht="15" customHeight="1" x14ac:dyDescent="0.3">
      <c r="A214" s="6">
        <f>ROW(Wydatki[[#This Row],[Amount]])-8</f>
        <v>206</v>
      </c>
      <c r="B214" s="22">
        <v>177</v>
      </c>
      <c r="C214" s="23" t="s">
        <v>121</v>
      </c>
      <c r="D214" s="23" t="str">
        <f>IF(COUNTIF(Wydatki[[#This Row],[Expenditure]],"*"&amp;"Parking"&amp;"*")=1,"Parking",IF(COUNTIF(Wydatki[[#This Row],[Expenditure]],"*"&amp;"Benzyna"&amp;"*")=1,"Benzyna","Inny wydatek"))</f>
        <v>Benzyna</v>
      </c>
      <c r="E214" s="25">
        <v>45596</v>
      </c>
      <c r="F214" s="26" t="s">
        <v>152</v>
      </c>
      <c r="G214" s="27">
        <f t="shared" si="13"/>
        <v>6.0409556313993171</v>
      </c>
      <c r="I214" s="43"/>
    </row>
    <row r="215" spans="1:14" ht="15" customHeight="1" x14ac:dyDescent="0.3">
      <c r="A215" s="6">
        <f>ROW(Wydatki[[#This Row],[Amount]])-8</f>
        <v>207</v>
      </c>
      <c r="B215" s="22">
        <v>1372</v>
      </c>
      <c r="C215" s="23" t="s">
        <v>158</v>
      </c>
      <c r="D215" s="23" t="str">
        <f>IF(COUNTIF(Wydatki[[#This Row],[Expenditure]],"*"&amp;"Parking"&amp;"*")=1,"Parking",IF(COUNTIF(Wydatki[[#This Row],[Expenditure]],"*"&amp;"Benzyna"&amp;"*")=1,"Benzyna","Inny wydatek"))</f>
        <v>Inny wydatek</v>
      </c>
      <c r="E215" s="25">
        <v>45609</v>
      </c>
      <c r="F215" s="26" t="s">
        <v>152</v>
      </c>
      <c r="G215" s="27" t="str">
        <f>IFERROR(B215/MID(C215,9,4),"")</f>
        <v/>
      </c>
      <c r="I215" s="43"/>
    </row>
    <row r="216" spans="1:14" ht="15" customHeight="1" x14ac:dyDescent="0.3">
      <c r="A216" s="6">
        <f>ROW(Wydatki[[#This Row],[Amount]])-8</f>
        <v>208</v>
      </c>
      <c r="B216" s="22">
        <v>117</v>
      </c>
      <c r="C216" s="23" t="s">
        <v>70</v>
      </c>
      <c r="D216" s="23" t="str">
        <f>IF(COUNTIF(Wydatki[[#This Row],[Expenditure]],"*"&amp;"Parking"&amp;"*")=1,"Parking",IF(COUNTIF(Wydatki[[#This Row],[Expenditure]],"*"&amp;"Benzyna"&amp;"*")=1,"Benzyna","Inny wydatek"))</f>
        <v>Benzyna</v>
      </c>
      <c r="E216" s="25">
        <v>45611</v>
      </c>
      <c r="F216" s="26" t="s">
        <v>152</v>
      </c>
      <c r="G216" s="27">
        <f t="shared" si="13"/>
        <v>6</v>
      </c>
      <c r="I216" s="43"/>
    </row>
    <row r="217" spans="1:14" ht="15" customHeight="1" x14ac:dyDescent="0.3">
      <c r="A217" s="6">
        <f>ROW(Wydatki[[#This Row],[Amount]])-8</f>
        <v>209</v>
      </c>
      <c r="B217" s="22">
        <v>7</v>
      </c>
      <c r="C217" s="23" t="s">
        <v>22</v>
      </c>
      <c r="D217" s="23" t="str">
        <f>IF(COUNTIF(Wydatki[[#This Row],[Expenditure]],"*"&amp;"Parking"&amp;"*")=1,"Parking",IF(COUNTIF(Wydatki[[#This Row],[Expenditure]],"*"&amp;"Benzyna"&amp;"*")=1,"Benzyna","Inny wydatek"))</f>
        <v>Parking</v>
      </c>
      <c r="E217" s="25">
        <v>45621</v>
      </c>
      <c r="F217" s="26" t="s">
        <v>152</v>
      </c>
      <c r="G217" s="27" t="str">
        <f t="shared" si="13"/>
        <v/>
      </c>
      <c r="I217" s="43"/>
    </row>
    <row r="218" spans="1:14" ht="15" customHeight="1" x14ac:dyDescent="0.3">
      <c r="A218" s="6">
        <f>ROW(Wydatki[[#This Row],[Amount]])-8</f>
        <v>210</v>
      </c>
      <c r="B218" s="22">
        <v>159</v>
      </c>
      <c r="C218" s="23" t="s">
        <v>122</v>
      </c>
      <c r="D218" s="23" t="str">
        <f>IF(COUNTIF(Wydatki[[#This Row],[Expenditure]],"*"&amp;"Parking"&amp;"*")=1,"Parking",IF(COUNTIF(Wydatki[[#This Row],[Expenditure]],"*"&amp;"Benzyna"&amp;"*")=1,"Benzyna","Inny wydatek"))</f>
        <v>Benzyna</v>
      </c>
      <c r="E218" s="25">
        <v>45632</v>
      </c>
      <c r="F218" s="26" t="s">
        <v>152</v>
      </c>
      <c r="G218" s="27">
        <f t="shared" si="13"/>
        <v>6.1867704280155644</v>
      </c>
      <c r="I218" s="43"/>
    </row>
    <row r="219" spans="1:14" ht="15" customHeight="1" x14ac:dyDescent="0.3">
      <c r="A219" s="6">
        <f>ROW(Wydatki[[#This Row],[Amount]])-8</f>
        <v>211</v>
      </c>
      <c r="B219" s="22">
        <v>21</v>
      </c>
      <c r="C219" s="23" t="s">
        <v>123</v>
      </c>
      <c r="D219" s="23" t="str">
        <f>IF(COUNTIF(Wydatki[[#This Row],[Expenditure]],"*"&amp;"Parking"&amp;"*")=1,"Parking",IF(COUNTIF(Wydatki[[#This Row],[Expenditure]],"*"&amp;"Benzyna"&amp;"*")=1,"Benzyna","Inny wydatek"))</f>
        <v>Parking</v>
      </c>
      <c r="E219" s="25">
        <v>45639</v>
      </c>
      <c r="F219" s="26" t="s">
        <v>152</v>
      </c>
      <c r="G219" s="27" t="str">
        <f t="shared" si="13"/>
        <v/>
      </c>
      <c r="I219" s="43"/>
    </row>
    <row r="220" spans="1:14" ht="15" customHeight="1" x14ac:dyDescent="0.3">
      <c r="A220" s="6">
        <f>ROW(Wydatki[[#This Row],[Amount]])-8</f>
        <v>212</v>
      </c>
      <c r="B220" s="22">
        <v>70</v>
      </c>
      <c r="C220" s="23" t="s">
        <v>124</v>
      </c>
      <c r="D220" s="23" t="str">
        <f>IF(COUNTIF(Wydatki[[#This Row],[Expenditure]],"*"&amp;"Parking"&amp;"*")=1,"Parking",IF(COUNTIF(Wydatki[[#This Row],[Expenditure]],"*"&amp;"Benzyna"&amp;"*")=1,"Benzyna","Inny wydatek"))</f>
        <v>Benzyna</v>
      </c>
      <c r="E220" s="25">
        <v>45644</v>
      </c>
      <c r="F220" s="26" t="s">
        <v>152</v>
      </c>
      <c r="G220" s="27">
        <f t="shared" si="13"/>
        <v>6.1946902654867255</v>
      </c>
      <c r="I220" s="43"/>
    </row>
    <row r="221" spans="1:14" ht="15" customHeight="1" x14ac:dyDescent="0.3">
      <c r="A221" s="6">
        <f>ROW(Wydatki[[#This Row],[Amount]])-8</f>
        <v>213</v>
      </c>
      <c r="B221" s="22">
        <v>9</v>
      </c>
      <c r="C221" s="23" t="s">
        <v>22</v>
      </c>
      <c r="D221" s="23" t="str">
        <f>IF(COUNTIF(Wydatki[[#This Row],[Expenditure]],"*"&amp;"Parking"&amp;"*")=1,"Parking",IF(COUNTIF(Wydatki[[#This Row],[Expenditure]],"*"&amp;"Benzyna"&amp;"*")=1,"Benzyna","Inny wydatek"))</f>
        <v>Parking</v>
      </c>
      <c r="E221" s="25">
        <v>45647</v>
      </c>
      <c r="F221" s="26" t="s">
        <v>152</v>
      </c>
      <c r="G221" s="27" t="str">
        <f t="shared" si="13"/>
        <v/>
      </c>
      <c r="I221" s="43"/>
    </row>
    <row r="222" spans="1:14" ht="15" customHeight="1" x14ac:dyDescent="0.3">
      <c r="A222" s="6">
        <f>ROW(Wydatki[[#This Row],[Amount]])-8</f>
        <v>214</v>
      </c>
      <c r="B222" s="22">
        <v>64</v>
      </c>
      <c r="C222" s="23" t="s">
        <v>125</v>
      </c>
      <c r="D222" s="23" t="str">
        <f>IF(COUNTIF(Wydatki[[#This Row],[Expenditure]],"*"&amp;"Parking"&amp;"*")=1,"Parking",IF(COUNTIF(Wydatki[[#This Row],[Expenditure]],"*"&amp;"Benzyna"&amp;"*")=1,"Benzyna","Inny wydatek"))</f>
        <v>Benzyna</v>
      </c>
      <c r="E222" s="25">
        <v>45648</v>
      </c>
      <c r="F222" s="26" t="s">
        <v>152</v>
      </c>
      <c r="G222" s="27">
        <f t="shared" si="13"/>
        <v>6.1538461538461533</v>
      </c>
      <c r="I222" s="43"/>
    </row>
    <row r="223" spans="1:14" ht="15" customHeight="1" x14ac:dyDescent="0.3">
      <c r="A223" s="6">
        <f>ROW(Wydatki[[#This Row],[Amount]])-8</f>
        <v>215</v>
      </c>
      <c r="B223" s="22">
        <v>72</v>
      </c>
      <c r="C223" s="23" t="s">
        <v>126</v>
      </c>
      <c r="D223" s="23" t="str">
        <f>IF(COUNTIF(Wydatki[[#This Row],[Expenditure]],"*"&amp;"Parking"&amp;"*")=1,"Parking",IF(COUNTIF(Wydatki[[#This Row],[Expenditure]],"*"&amp;"Benzyna"&amp;"*")=1,"Benzyna","Inny wydatek"))</f>
        <v>Inny wydatek</v>
      </c>
      <c r="E223" s="25">
        <v>45651</v>
      </c>
      <c r="F223" s="26" t="s">
        <v>153</v>
      </c>
      <c r="G223" s="27" t="str">
        <f t="shared" si="13"/>
        <v/>
      </c>
      <c r="I223" s="43"/>
    </row>
    <row r="224" spans="1:14" ht="15" customHeight="1" x14ac:dyDescent="0.3">
      <c r="A224" s="6">
        <f>ROW(Wydatki[[#This Row],[Amount]])-8</f>
        <v>216</v>
      </c>
      <c r="B224" s="22">
        <v>68</v>
      </c>
      <c r="C224" s="23" t="s">
        <v>126</v>
      </c>
      <c r="D224" s="23" t="str">
        <f>IF(COUNTIF(Wydatki[[#This Row],[Expenditure]],"*"&amp;"Parking"&amp;"*")=1,"Parking",IF(COUNTIF(Wydatki[[#This Row],[Expenditure]],"*"&amp;"Benzyna"&amp;"*")=1,"Benzyna","Inny wydatek"))</f>
        <v>Inny wydatek</v>
      </c>
      <c r="E224" s="25">
        <v>45653</v>
      </c>
      <c r="F224" s="26" t="s">
        <v>153</v>
      </c>
      <c r="G224" s="27" t="str">
        <f t="shared" si="13"/>
        <v/>
      </c>
      <c r="I224" s="43"/>
    </row>
    <row r="225" spans="1:9" ht="15" customHeight="1" x14ac:dyDescent="0.3">
      <c r="A225" s="6">
        <f>ROW(Wydatki[[#This Row],[Amount]])-8</f>
        <v>217</v>
      </c>
      <c r="B225" s="51">
        <v>170</v>
      </c>
      <c r="C225" s="52" t="s">
        <v>110</v>
      </c>
      <c r="D225" s="23" t="str">
        <f>IF(COUNTIF(Wydatki[[#This Row],[Expenditure]],"*"&amp;"Parking"&amp;"*")=1,"Parking",IF(COUNTIF(Wydatki[[#This Row],[Expenditure]],"*"&amp;"Benzyna"&amp;"*")=1,"Benzyna","Inny wydatek"))</f>
        <v>Benzyna</v>
      </c>
      <c r="E225" s="53">
        <v>45653</v>
      </c>
      <c r="F225" s="54" t="s">
        <v>153</v>
      </c>
      <c r="G225" s="27">
        <f t="shared" si="13"/>
        <v>6.0714285714285712</v>
      </c>
      <c r="I225" s="43"/>
    </row>
    <row r="226" spans="1:9" ht="15" customHeight="1" x14ac:dyDescent="0.3">
      <c r="I226" s="43"/>
    </row>
    <row r="227" spans="1:9" ht="15" customHeight="1" x14ac:dyDescent="0.3">
      <c r="I227" s="43"/>
    </row>
    <row r="228" spans="1:9" ht="15" customHeight="1" x14ac:dyDescent="0.3">
      <c r="I228" s="43"/>
    </row>
    <row r="229" spans="1:9" ht="15" customHeight="1" x14ac:dyDescent="0.3">
      <c r="I229" s="43"/>
    </row>
    <row r="230" spans="1:9" ht="15" customHeight="1" x14ac:dyDescent="0.3">
      <c r="I230" s="43"/>
    </row>
    <row r="231" spans="1:9" ht="15" customHeight="1" x14ac:dyDescent="0.3">
      <c r="I231" s="43"/>
    </row>
    <row r="232" spans="1:9" ht="15" customHeight="1" x14ac:dyDescent="0.3">
      <c r="I232" s="43"/>
    </row>
    <row r="233" spans="1:9" ht="15" customHeight="1" x14ac:dyDescent="0.3">
      <c r="I233" s="43"/>
    </row>
    <row r="234" spans="1:9" ht="15" customHeight="1" x14ac:dyDescent="0.3">
      <c r="I234" s="43"/>
    </row>
    <row r="235" spans="1:9" ht="15" customHeight="1" x14ac:dyDescent="0.3">
      <c r="I235" s="43"/>
    </row>
    <row r="236" spans="1:9" ht="15" customHeight="1" x14ac:dyDescent="0.3">
      <c r="I236" s="43"/>
    </row>
    <row r="237" spans="1:9" ht="15" customHeight="1" x14ac:dyDescent="0.3">
      <c r="I237" s="43"/>
    </row>
    <row r="238" spans="1:9" ht="15" customHeight="1" x14ac:dyDescent="0.3">
      <c r="I238" s="43"/>
    </row>
    <row r="239" spans="1:9" ht="15" customHeight="1" x14ac:dyDescent="0.3">
      <c r="I239" s="43"/>
    </row>
    <row r="240" spans="1:9" ht="15" customHeight="1" x14ac:dyDescent="0.3">
      <c r="I240" s="43"/>
    </row>
    <row r="241" spans="9:9" ht="15" customHeight="1" x14ac:dyDescent="0.3">
      <c r="I241" s="43"/>
    </row>
    <row r="242" spans="9:9" ht="15" customHeight="1" x14ac:dyDescent="0.3">
      <c r="I242" s="43"/>
    </row>
    <row r="243" spans="9:9" ht="15" customHeight="1" x14ac:dyDescent="0.3">
      <c r="I243" s="43"/>
    </row>
    <row r="244" spans="9:9" ht="15" customHeight="1" x14ac:dyDescent="0.3">
      <c r="I244" s="43"/>
    </row>
    <row r="245" spans="9:9" ht="15" customHeight="1" x14ac:dyDescent="0.3">
      <c r="I245" s="43"/>
    </row>
    <row r="246" spans="9:9" ht="15" customHeight="1" x14ac:dyDescent="0.3">
      <c r="I246" s="43"/>
    </row>
    <row r="247" spans="9:9" ht="15" customHeight="1" x14ac:dyDescent="0.3">
      <c r="I247" s="43"/>
    </row>
    <row r="248" spans="9:9" ht="15" customHeight="1" x14ac:dyDescent="0.3">
      <c r="I248" s="43"/>
    </row>
    <row r="249" spans="9:9" ht="15" customHeight="1" x14ac:dyDescent="0.3">
      <c r="I249" s="43"/>
    </row>
    <row r="250" spans="9:9" ht="15" customHeight="1" x14ac:dyDescent="0.3">
      <c r="I250" s="43"/>
    </row>
    <row r="251" spans="9:9" ht="15" customHeight="1" x14ac:dyDescent="0.3">
      <c r="I251" s="43"/>
    </row>
    <row r="252" spans="9:9" ht="15" customHeight="1" x14ac:dyDescent="0.3">
      <c r="I252" s="43"/>
    </row>
    <row r="253" spans="9:9" ht="15" customHeight="1" x14ac:dyDescent="0.3">
      <c r="I253" s="43"/>
    </row>
    <row r="254" spans="9:9" ht="15" customHeight="1" x14ac:dyDescent="0.3">
      <c r="I254" s="43"/>
    </row>
    <row r="255" spans="9:9" ht="15" customHeight="1" x14ac:dyDescent="0.3">
      <c r="I255" s="43"/>
    </row>
    <row r="256" spans="9:9" ht="15" customHeight="1" x14ac:dyDescent="0.3">
      <c r="I256" s="43"/>
    </row>
    <row r="257" spans="9:9" ht="15" customHeight="1" x14ac:dyDescent="0.3">
      <c r="I257" s="43"/>
    </row>
    <row r="258" spans="9:9" ht="15" customHeight="1" x14ac:dyDescent="0.3">
      <c r="I258" s="43"/>
    </row>
    <row r="259" spans="9:9" ht="15" customHeight="1" x14ac:dyDescent="0.3">
      <c r="I259" s="43"/>
    </row>
    <row r="260" spans="9:9" ht="15" customHeight="1" x14ac:dyDescent="0.3">
      <c r="I260" s="43"/>
    </row>
    <row r="261" spans="9:9" ht="15" customHeight="1" x14ac:dyDescent="0.3">
      <c r="I261" s="43"/>
    </row>
    <row r="262" spans="9:9" ht="15" customHeight="1" x14ac:dyDescent="0.3">
      <c r="I262" s="43"/>
    </row>
    <row r="263" spans="9:9" ht="15" customHeight="1" x14ac:dyDescent="0.3">
      <c r="I263" s="43"/>
    </row>
    <row r="264" spans="9:9" ht="15" customHeight="1" x14ac:dyDescent="0.3">
      <c r="I264" s="43"/>
    </row>
    <row r="265" spans="9:9" ht="15" customHeight="1" x14ac:dyDescent="0.3">
      <c r="I265" s="43"/>
    </row>
    <row r="266" spans="9:9" ht="15" customHeight="1" x14ac:dyDescent="0.3">
      <c r="I266" s="43"/>
    </row>
    <row r="267" spans="9:9" ht="15" customHeight="1" x14ac:dyDescent="0.3">
      <c r="I267" s="43"/>
    </row>
    <row r="268" spans="9:9" ht="15" customHeight="1" x14ac:dyDescent="0.3">
      <c r="I268" s="43"/>
    </row>
    <row r="269" spans="9:9" ht="15" customHeight="1" x14ac:dyDescent="0.3">
      <c r="I269" s="43"/>
    </row>
    <row r="270" spans="9:9" ht="15" customHeight="1" x14ac:dyDescent="0.3">
      <c r="I270" s="43"/>
    </row>
    <row r="271" spans="9:9" ht="15" customHeight="1" x14ac:dyDescent="0.3">
      <c r="I271" s="43"/>
    </row>
    <row r="272" spans="9:9" ht="15" customHeight="1" x14ac:dyDescent="0.3">
      <c r="I272" s="43"/>
    </row>
    <row r="273" spans="9:9" ht="15" customHeight="1" x14ac:dyDescent="0.3">
      <c r="I273" s="43"/>
    </row>
    <row r="274" spans="9:9" ht="15" customHeight="1" x14ac:dyDescent="0.3">
      <c r="I274" s="43"/>
    </row>
    <row r="275" spans="9:9" ht="15" customHeight="1" x14ac:dyDescent="0.3">
      <c r="I275" s="43"/>
    </row>
    <row r="276" spans="9:9" ht="15" customHeight="1" x14ac:dyDescent="0.3">
      <c r="I276" s="43"/>
    </row>
    <row r="277" spans="9:9" ht="15" customHeight="1" x14ac:dyDescent="0.3">
      <c r="I277" s="43"/>
    </row>
    <row r="278" spans="9:9" ht="15" customHeight="1" x14ac:dyDescent="0.3">
      <c r="I278" s="43"/>
    </row>
    <row r="279" spans="9:9" ht="15" customHeight="1" x14ac:dyDescent="0.3">
      <c r="I279" s="43"/>
    </row>
    <row r="280" spans="9:9" ht="15" customHeight="1" x14ac:dyDescent="0.3">
      <c r="I280" s="43"/>
    </row>
    <row r="281" spans="9:9" ht="15" customHeight="1" x14ac:dyDescent="0.3">
      <c r="I281" s="43"/>
    </row>
    <row r="282" spans="9:9" ht="15" customHeight="1" x14ac:dyDescent="0.3">
      <c r="I282" s="43"/>
    </row>
    <row r="283" spans="9:9" ht="15" customHeight="1" x14ac:dyDescent="0.3">
      <c r="I283" s="43"/>
    </row>
    <row r="284" spans="9:9" ht="15" customHeight="1" x14ac:dyDescent="0.3">
      <c r="I284" s="43"/>
    </row>
    <row r="285" spans="9:9" ht="15" customHeight="1" x14ac:dyDescent="0.3">
      <c r="I285" s="43"/>
    </row>
    <row r="286" spans="9:9" ht="15" customHeight="1" x14ac:dyDescent="0.3">
      <c r="I286" s="43"/>
    </row>
    <row r="287" spans="9:9" ht="15" customHeight="1" x14ac:dyDescent="0.3">
      <c r="I287" s="43"/>
    </row>
    <row r="288" spans="9:9" ht="15" customHeight="1" x14ac:dyDescent="0.3">
      <c r="I288" s="43"/>
    </row>
    <row r="289" spans="9:9" ht="15" customHeight="1" x14ac:dyDescent="0.3">
      <c r="I289" s="43"/>
    </row>
    <row r="290" spans="9:9" ht="15" customHeight="1" x14ac:dyDescent="0.3">
      <c r="I290" s="43"/>
    </row>
    <row r="291" spans="9:9" ht="15" customHeight="1" x14ac:dyDescent="0.3">
      <c r="I291" s="43"/>
    </row>
    <row r="292" spans="9:9" ht="15" customHeight="1" x14ac:dyDescent="0.3">
      <c r="I292" s="43"/>
    </row>
    <row r="293" spans="9:9" ht="15" customHeight="1" x14ac:dyDescent="0.3">
      <c r="I293" s="43"/>
    </row>
    <row r="294" spans="9:9" ht="15" customHeight="1" x14ac:dyDescent="0.3">
      <c r="I294" s="43"/>
    </row>
    <row r="295" spans="9:9" ht="15" customHeight="1" x14ac:dyDescent="0.3">
      <c r="I295" s="43"/>
    </row>
    <row r="296" spans="9:9" ht="15" customHeight="1" x14ac:dyDescent="0.3">
      <c r="I296" s="43"/>
    </row>
    <row r="297" spans="9:9" ht="15" customHeight="1" x14ac:dyDescent="0.3">
      <c r="I297" s="43"/>
    </row>
    <row r="298" spans="9:9" ht="15" customHeight="1" x14ac:dyDescent="0.3">
      <c r="I298" s="43"/>
    </row>
    <row r="299" spans="9:9" ht="15" customHeight="1" x14ac:dyDescent="0.3">
      <c r="I299" s="43"/>
    </row>
    <row r="300" spans="9:9" ht="15" customHeight="1" x14ac:dyDescent="0.3">
      <c r="I300" s="43"/>
    </row>
    <row r="301" spans="9:9" ht="15" customHeight="1" x14ac:dyDescent="0.3">
      <c r="I301" s="43"/>
    </row>
    <row r="302" spans="9:9" ht="15" customHeight="1" x14ac:dyDescent="0.3">
      <c r="I302" s="43"/>
    </row>
  </sheetData>
  <sheetProtection algorithmName="SHA-512" hashValue="69OXsBDh5MHKa4NBozWOid4q/ffQzh6e01Ywg7golr2QejJudTGVLBD8Va5Nz1zevZkcqERaDlx4UU39nVaPIQ==" saltValue="oDlzaYfF5pvCl1nSMHvrYw==" spinCount="100000" sheet="1" objects="1" scenarios="1" selectLockedCells="1" sort="0" autoFilter="0" pivotTables="0"/>
  <mergeCells count="11">
    <mergeCell ref="A1:T4"/>
    <mergeCell ref="I118:M118"/>
    <mergeCell ref="A6:G6"/>
    <mergeCell ref="I6:M6"/>
    <mergeCell ref="O6:T6"/>
    <mergeCell ref="I106:M106"/>
    <mergeCell ref="I97:M97"/>
    <mergeCell ref="O29:T29"/>
    <mergeCell ref="O72:T72"/>
    <mergeCell ref="O77:T77"/>
    <mergeCell ref="O82:T82"/>
  </mergeCells>
  <conditionalFormatting sqref="B9:B2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xWindow="802" yWindow="456" count="13">
    <dataValidation type="date" allowBlank="1" showInputMessage="1" showErrorMessage="1" errorTitle="Błąd daty" error="Wprowadzono nieprawidłową datę" promptTitle="Data" prompt="Please enter the date using the pattern: dd.mm.yyyy" sqref="E9:E225">
      <formula1>44159</formula1>
      <formula2>47484</formula2>
    </dataValidation>
    <dataValidation type="whole" allowBlank="1" showInputMessage="1" showErrorMessage="1" errorTitle="Błędna wartość" error="Należy podać pełną liczbę" promptTitle="Instruction" prompt="The user can enter values ​​rounded to a whole number" sqref="B9:B225">
      <formula1>1</formula1>
      <formula2>1000000</formula2>
    </dataValidation>
    <dataValidation errorStyle="information" operator="equal" allowBlank="1" showInputMessage="1" promptTitle="Petrol" prompt="When entering data on petrol expenditure, please enter it using the pattern: &quot;Benzyna xx,xl&quot;" sqref="C9:C225"/>
    <dataValidation allowBlank="1" showInputMessage="1" showErrorMessage="1" promptTitle="Id" prompt="Cell calculated automatically" sqref="A9:A225"/>
    <dataValidation allowBlank="1" showInputMessage="1" showErrorMessage="1" promptTitle="Category" prompt="Cell calculated automatically" sqref="D9:D225"/>
    <dataValidation allowBlank="1" showInputMessage="1" showErrorMessage="1" promptTitle="Petrol price" prompt="The cell is calculated automatically, but only if the data is entered correctly in the &quot;Expenditure&quot; column" sqref="G9:G225"/>
    <dataValidation showInputMessage="1" showErrorMessage="1" errorTitle="Błędna wartość" error="Należy podać pełną liczbę" promptTitle="Instruction" prompt="The user can enter values ​​rounded to a whole number" sqref="B8"/>
    <dataValidation errorStyle="information" operator="equal" allowBlank="1" showInputMessage="1" promptTitle="Petrol" prompt="When entering data on petrol expenditure, please enter it using the pattern: &quot;Benzyna xx,xl&quot;" sqref="C8"/>
    <dataValidation allowBlank="1" showInputMessage="1" showErrorMessage="1" promptTitle="Category" prompt="Cell calculated automatically" sqref="D8"/>
    <dataValidation type="date" allowBlank="1" showInputMessage="1" showErrorMessage="1" errorTitle="Błąd daty" error="Wprowadzono nieprawidłową datę" promptTitle="Data" prompt="Please enter the date using the pattern: dd.mm.yyyy" sqref="E8">
      <formula1>44159</formula1>
      <formula2>47484</formula2>
    </dataValidation>
    <dataValidation allowBlank="1" showInputMessage="1" showErrorMessage="1" promptTitle="Purchase location" prompt="Please provide your purchase location using the list" sqref="F8:F225"/>
    <dataValidation allowBlank="1" showInputMessage="1" showErrorMessage="1" promptTitle="Petrol price" prompt="The cell is calculated automatically, but only if the data is entered correctly in the &quot;Expenditure&quot; column" sqref="G8"/>
    <dataValidation allowBlank="1" showInputMessage="1" showErrorMessage="1" promptTitle="Id" prompt="Cell calculated automatically" sqref="A8"/>
  </dataValidations>
  <pageMargins left="0.7" right="0.7" top="0.75" bottom="0.75" header="0.3" footer="0.3"/>
  <pageSetup paperSize="9" orientation="portrait" r:id="rId4"/>
  <drawing r:id="rId5"/>
  <tableParts count="1"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FX193"/>
  <sheetViews>
    <sheetView showGridLines="0" workbookViewId="0">
      <selection activeCell="V14" sqref="V14"/>
    </sheetView>
  </sheetViews>
  <sheetFormatPr defaultColWidth="10.6640625" defaultRowHeight="15" customHeight="1" x14ac:dyDescent="0.3"/>
  <cols>
    <col min="1" max="1" width="36.109375" style="64" customWidth="1"/>
    <col min="2" max="20" width="8.77734375" style="64" customWidth="1"/>
    <col min="21" max="16384" width="10.6640625" style="64"/>
  </cols>
  <sheetData>
    <row r="1" spans="1:180" ht="15" customHeight="1" x14ac:dyDescent="0.3">
      <c r="A1" s="71" t="s">
        <v>210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</row>
    <row r="2" spans="1:180" ht="15" customHeight="1" x14ac:dyDescent="0.3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</row>
    <row r="3" spans="1:180" ht="15" customHeight="1" x14ac:dyDescent="0.3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</row>
    <row r="4" spans="1:180" ht="15" customHeigh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</row>
    <row r="5" spans="1:180" ht="15" customHeight="1" x14ac:dyDescent="0.3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1:180" ht="15" customHeight="1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</row>
    <row r="14" spans="1:180" ht="15" customHeight="1" x14ac:dyDescent="0.35">
      <c r="E14" s="65"/>
      <c r="F14" s="65"/>
      <c r="G14" s="65"/>
      <c r="H14" s="65"/>
      <c r="I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  <c r="DY14" s="65"/>
      <c r="DZ14" s="65"/>
      <c r="EA14" s="65"/>
      <c r="EB14" s="65"/>
      <c r="EC14" s="65"/>
      <c r="ED14" s="65"/>
      <c r="EE14" s="65"/>
      <c r="EF14" s="65"/>
      <c r="EG14" s="65"/>
      <c r="EH14" s="65"/>
      <c r="EI14" s="65"/>
      <c r="EJ14" s="65"/>
      <c r="EK14" s="65"/>
      <c r="EL14" s="65"/>
      <c r="EM14" s="65"/>
      <c r="EN14" s="65"/>
      <c r="EO14" s="65"/>
      <c r="EP14" s="65"/>
      <c r="EQ14" s="65"/>
      <c r="ER14" s="65"/>
      <c r="ES14" s="65"/>
      <c r="ET14" s="65"/>
      <c r="EU14" s="65"/>
      <c r="EV14" s="65"/>
      <c r="EW14" s="65"/>
      <c r="EX14" s="65"/>
      <c r="EY14" s="65"/>
      <c r="EZ14" s="65"/>
      <c r="FA14" s="65"/>
      <c r="FB14" s="65"/>
      <c r="FC14" s="65"/>
      <c r="FD14" s="65"/>
      <c r="FE14" s="65"/>
      <c r="FF14" s="65"/>
      <c r="FG14" s="65"/>
      <c r="FH14" s="65"/>
      <c r="FI14" s="65"/>
      <c r="FJ14" s="65"/>
      <c r="FK14" s="65"/>
      <c r="FL14" s="65"/>
      <c r="FM14" s="65"/>
      <c r="FN14" s="65"/>
      <c r="FO14" s="65"/>
      <c r="FP14" s="65"/>
      <c r="FQ14" s="65"/>
      <c r="FR14" s="65"/>
      <c r="FS14" s="65"/>
      <c r="FT14" s="65"/>
      <c r="FU14" s="65"/>
      <c r="FV14" s="65"/>
      <c r="FW14" s="65"/>
      <c r="FX14" s="65"/>
    </row>
    <row r="15" spans="1:180" ht="15" customHeight="1" x14ac:dyDescent="0.35"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  <c r="DY15" s="65"/>
      <c r="DZ15" s="65"/>
      <c r="EA15" s="65"/>
      <c r="EB15" s="65"/>
      <c r="EC15" s="65"/>
      <c r="ED15" s="65"/>
      <c r="EE15" s="65"/>
      <c r="EF15" s="65"/>
      <c r="EG15" s="65"/>
      <c r="EH15" s="65"/>
      <c r="EI15" s="65"/>
      <c r="EJ15" s="65"/>
      <c r="EK15" s="65"/>
      <c r="EL15" s="65"/>
      <c r="EM15" s="65"/>
      <c r="EN15" s="65"/>
      <c r="EO15" s="65"/>
      <c r="EP15" s="65"/>
      <c r="EQ15" s="65"/>
      <c r="ER15" s="65"/>
      <c r="ES15" s="65"/>
      <c r="ET15" s="65"/>
      <c r="EU15" s="65"/>
      <c r="EV15" s="65"/>
      <c r="EW15" s="65"/>
      <c r="EX15" s="65"/>
      <c r="EY15" s="65"/>
      <c r="EZ15" s="65"/>
      <c r="FA15" s="65"/>
      <c r="FB15" s="65"/>
      <c r="FC15" s="65"/>
      <c r="FD15" s="65"/>
      <c r="FE15" s="65"/>
      <c r="FF15" s="65"/>
      <c r="FG15" s="65"/>
      <c r="FH15" s="65"/>
      <c r="FI15" s="65"/>
      <c r="FJ15" s="65"/>
      <c r="FK15" s="65"/>
      <c r="FL15" s="65"/>
      <c r="FM15" s="65"/>
      <c r="FN15" s="65"/>
      <c r="FO15" s="65"/>
      <c r="FP15" s="65"/>
      <c r="FQ15" s="65"/>
      <c r="FR15" s="65"/>
      <c r="FS15" s="65"/>
      <c r="FT15" s="65"/>
      <c r="FU15" s="65"/>
      <c r="FV15" s="65"/>
      <c r="FW15" s="65"/>
      <c r="FX15" s="65"/>
    </row>
    <row r="16" spans="1:180" ht="15" customHeight="1" x14ac:dyDescent="0.35"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65"/>
      <c r="DX16" s="65"/>
      <c r="DY16" s="65"/>
      <c r="DZ16" s="65"/>
      <c r="EA16" s="65"/>
      <c r="EB16" s="65"/>
      <c r="EC16" s="65"/>
      <c r="ED16" s="65"/>
      <c r="EE16" s="65"/>
      <c r="EF16" s="65"/>
      <c r="EG16" s="65"/>
      <c r="EH16" s="65"/>
      <c r="EI16" s="65"/>
      <c r="EJ16" s="65"/>
      <c r="EK16" s="65"/>
      <c r="EL16" s="65"/>
      <c r="EM16" s="65"/>
      <c r="EN16" s="65"/>
      <c r="EO16" s="65"/>
      <c r="EP16" s="65"/>
      <c r="EQ16" s="65"/>
      <c r="ER16" s="65"/>
      <c r="ES16" s="65"/>
      <c r="ET16" s="65"/>
      <c r="EU16" s="65"/>
      <c r="EV16" s="65"/>
      <c r="EW16" s="65"/>
      <c r="EX16" s="65"/>
      <c r="EY16" s="65"/>
      <c r="EZ16" s="65"/>
      <c r="FA16" s="65"/>
      <c r="FB16" s="65"/>
      <c r="FC16" s="65"/>
      <c r="FD16" s="65"/>
      <c r="FE16" s="65"/>
      <c r="FF16" s="65"/>
      <c r="FG16" s="65"/>
      <c r="FH16" s="65"/>
      <c r="FI16" s="65"/>
      <c r="FJ16" s="65"/>
      <c r="FK16" s="65"/>
      <c r="FL16" s="65"/>
      <c r="FM16" s="65"/>
      <c r="FN16" s="65"/>
      <c r="FO16" s="65"/>
      <c r="FP16" s="65"/>
      <c r="FQ16" s="65"/>
      <c r="FR16" s="65"/>
      <c r="FS16" s="65"/>
      <c r="FT16" s="65"/>
      <c r="FU16" s="65"/>
      <c r="FV16" s="65"/>
      <c r="FW16" s="65"/>
      <c r="FX16" s="65"/>
    </row>
    <row r="17" spans="5:5" ht="15" customHeight="1" x14ac:dyDescent="0.35">
      <c r="E17" s="65"/>
    </row>
    <row r="18" spans="5:5" ht="15" customHeight="1" x14ac:dyDescent="0.35">
      <c r="E18" s="65"/>
    </row>
    <row r="19" spans="5:5" ht="15" customHeight="1" x14ac:dyDescent="0.35">
      <c r="E19" s="65"/>
    </row>
    <row r="20" spans="5:5" ht="15" customHeight="1" x14ac:dyDescent="0.35">
      <c r="E20" s="65"/>
    </row>
    <row r="21" spans="5:5" ht="15" customHeight="1" x14ac:dyDescent="0.35">
      <c r="E21" s="65"/>
    </row>
    <row r="22" spans="5:5" ht="15" customHeight="1" x14ac:dyDescent="0.35">
      <c r="E22" s="65"/>
    </row>
    <row r="23" spans="5:5" ht="15" customHeight="1" x14ac:dyDescent="0.35">
      <c r="E23" s="65"/>
    </row>
    <row r="24" spans="5:5" ht="15" customHeight="1" x14ac:dyDescent="0.35">
      <c r="E24" s="65"/>
    </row>
    <row r="25" spans="5:5" ht="15" customHeight="1" x14ac:dyDescent="0.35">
      <c r="E25" s="65"/>
    </row>
    <row r="26" spans="5:5" ht="15" customHeight="1" x14ac:dyDescent="0.35">
      <c r="E26" s="65"/>
    </row>
    <row r="27" spans="5:5" ht="15" customHeight="1" x14ac:dyDescent="0.35">
      <c r="E27" s="65"/>
    </row>
    <row r="28" spans="5:5" ht="15" customHeight="1" x14ac:dyDescent="0.35">
      <c r="E28" s="65"/>
    </row>
    <row r="29" spans="5:5" ht="15" customHeight="1" x14ac:dyDescent="0.35">
      <c r="E29" s="65"/>
    </row>
    <row r="30" spans="5:5" ht="15" customHeight="1" x14ac:dyDescent="0.35">
      <c r="E30" s="65"/>
    </row>
    <row r="31" spans="5:5" ht="15" customHeight="1" x14ac:dyDescent="0.35">
      <c r="E31" s="65"/>
    </row>
    <row r="32" spans="5:5" ht="15" customHeight="1" x14ac:dyDescent="0.35">
      <c r="E32" s="65"/>
    </row>
    <row r="33" spans="1:5" ht="15" customHeight="1" x14ac:dyDescent="0.35">
      <c r="E33" s="65"/>
    </row>
    <row r="34" spans="1:5" ht="15" customHeight="1" x14ac:dyDescent="0.35">
      <c r="E34" s="65"/>
    </row>
    <row r="35" spans="1:5" ht="15" customHeight="1" thickBot="1" x14ac:dyDescent="0.4">
      <c r="E35" s="65"/>
    </row>
    <row r="36" spans="1:5" ht="15" customHeight="1" x14ac:dyDescent="0.35">
      <c r="A36" s="66" t="s">
        <v>198</v>
      </c>
      <c r="E36" s="65"/>
    </row>
    <row r="37" spans="1:5" ht="15.6" thickBot="1" x14ac:dyDescent="0.4">
      <c r="A37" s="67">
        <f>'Calculation Sheet'!T75</f>
        <v>12856</v>
      </c>
      <c r="E37" s="65"/>
    </row>
    <row r="38" spans="1:5" ht="15.6" thickBot="1" x14ac:dyDescent="0.4">
      <c r="E38" s="65"/>
    </row>
    <row r="39" spans="1:5" x14ac:dyDescent="0.35">
      <c r="A39" s="68" t="s">
        <v>199</v>
      </c>
      <c r="E39" s="65"/>
    </row>
    <row r="40" spans="1:5" ht="15.6" thickBot="1" x14ac:dyDescent="0.4">
      <c r="A40" s="67">
        <f>'Calculation Sheet'!T80</f>
        <v>1389</v>
      </c>
      <c r="E40" s="65"/>
    </row>
    <row r="41" spans="1:5" ht="15.6" thickBot="1" x14ac:dyDescent="0.4">
      <c r="E41" s="65"/>
    </row>
    <row r="42" spans="1:5" x14ac:dyDescent="0.35">
      <c r="A42" s="68" t="s">
        <v>200</v>
      </c>
      <c r="E42" s="65"/>
    </row>
    <row r="43" spans="1:5" ht="15.6" thickBot="1" x14ac:dyDescent="0.4">
      <c r="A43" s="69">
        <f>'Calculation Sheet'!J185</f>
        <v>6.1866783653390485</v>
      </c>
      <c r="E43" s="65"/>
    </row>
    <row r="44" spans="1:5" ht="15.6" thickBot="1" x14ac:dyDescent="0.4">
      <c r="E44" s="65"/>
    </row>
    <row r="45" spans="1:5" x14ac:dyDescent="0.35">
      <c r="A45" s="68" t="s">
        <v>201</v>
      </c>
      <c r="E45" s="65"/>
    </row>
    <row r="46" spans="1:5" ht="15.6" thickBot="1" x14ac:dyDescent="0.35">
      <c r="A46" s="69">
        <f>'Calculation Sheet'!J186</f>
        <v>7.6221498371335503</v>
      </c>
    </row>
    <row r="47" spans="1:5" ht="15.6" thickBot="1" x14ac:dyDescent="0.35"/>
    <row r="48" spans="1:5" ht="15" customHeight="1" x14ac:dyDescent="0.3">
      <c r="A48" s="68" t="s">
        <v>202</v>
      </c>
    </row>
    <row r="49" spans="1:3" ht="15.6" thickBot="1" x14ac:dyDescent="0.35">
      <c r="A49" s="69">
        <f>'Calculation Sheet'!J187</f>
        <v>4.6691176470588234</v>
      </c>
    </row>
    <row r="50" spans="1:3" ht="15.6" thickBot="1" x14ac:dyDescent="0.4">
      <c r="A50" s="65"/>
      <c r="B50" s="65"/>
      <c r="C50" s="65"/>
    </row>
    <row r="51" spans="1:3" ht="30" x14ac:dyDescent="0.35">
      <c r="A51" s="70" t="s">
        <v>203</v>
      </c>
      <c r="B51" s="65"/>
      <c r="C51" s="65"/>
    </row>
    <row r="52" spans="1:3" ht="15.6" thickBot="1" x14ac:dyDescent="0.4">
      <c r="A52" s="69">
        <f>'Calculation Sheet'!J188</f>
        <v>0.5313752743734792</v>
      </c>
      <c r="B52" s="65"/>
      <c r="C52" s="65"/>
    </row>
    <row r="53" spans="1:3" ht="15" customHeight="1" x14ac:dyDescent="0.35">
      <c r="A53" s="65"/>
      <c r="B53" s="65"/>
      <c r="C53" s="65"/>
    </row>
    <row r="54" spans="1:3" ht="15" customHeight="1" x14ac:dyDescent="0.35">
      <c r="A54" s="65"/>
      <c r="B54" s="65"/>
      <c r="C54" s="65"/>
    </row>
    <row r="55" spans="1:3" ht="15" customHeight="1" x14ac:dyDescent="0.35">
      <c r="A55" s="65"/>
      <c r="C55" s="65"/>
    </row>
    <row r="56" spans="1:3" ht="15" customHeight="1" x14ac:dyDescent="0.35">
      <c r="A56" s="65"/>
      <c r="C56" s="65"/>
    </row>
    <row r="57" spans="1:3" ht="15" customHeight="1" x14ac:dyDescent="0.35">
      <c r="A57" s="65"/>
      <c r="B57" s="65"/>
      <c r="C57" s="65"/>
    </row>
    <row r="81" spans="3:4" ht="15" customHeight="1" x14ac:dyDescent="0.35">
      <c r="C81" s="65"/>
      <c r="D81" s="65"/>
    </row>
    <row r="82" spans="3:4" ht="15" customHeight="1" x14ac:dyDescent="0.35">
      <c r="C82" s="65"/>
      <c r="D82" s="65"/>
    </row>
    <row r="83" spans="3:4" ht="15" customHeight="1" x14ac:dyDescent="0.35">
      <c r="C83" s="65"/>
      <c r="D83" s="65"/>
    </row>
    <row r="84" spans="3:4" ht="15" customHeight="1" x14ac:dyDescent="0.35">
      <c r="C84" s="65"/>
      <c r="D84" s="65"/>
    </row>
    <row r="85" spans="3:4" ht="15" customHeight="1" x14ac:dyDescent="0.35">
      <c r="C85" s="65"/>
      <c r="D85" s="65"/>
    </row>
    <row r="86" spans="3:4" ht="15" customHeight="1" x14ac:dyDescent="0.35">
      <c r="C86" s="65"/>
      <c r="D86" s="65"/>
    </row>
    <row r="87" spans="3:4" ht="15" customHeight="1" x14ac:dyDescent="0.35">
      <c r="C87" s="65"/>
      <c r="D87" s="65"/>
    </row>
    <row r="88" spans="3:4" ht="15" customHeight="1" x14ac:dyDescent="0.35">
      <c r="C88" s="65"/>
      <c r="D88" s="65"/>
    </row>
    <row r="89" spans="3:4" ht="15" customHeight="1" x14ac:dyDescent="0.35">
      <c r="C89" s="65"/>
      <c r="D89" s="65"/>
    </row>
    <row r="90" spans="3:4" ht="15" customHeight="1" x14ac:dyDescent="0.35">
      <c r="C90" s="65"/>
      <c r="D90" s="65"/>
    </row>
    <row r="91" spans="3:4" ht="15" customHeight="1" x14ac:dyDescent="0.35">
      <c r="C91" s="65"/>
      <c r="D91" s="65"/>
    </row>
    <row r="92" spans="3:4" ht="15" customHeight="1" x14ac:dyDescent="0.35">
      <c r="C92" s="65"/>
      <c r="D92" s="65"/>
    </row>
    <row r="93" spans="3:4" ht="15" customHeight="1" x14ac:dyDescent="0.35">
      <c r="C93" s="65"/>
      <c r="D93" s="65"/>
    </row>
    <row r="94" spans="3:4" ht="15" customHeight="1" x14ac:dyDescent="0.35">
      <c r="C94" s="65"/>
      <c r="D94" s="65"/>
    </row>
    <row r="95" spans="3:4" ht="15" customHeight="1" x14ac:dyDescent="0.35">
      <c r="C95" s="65"/>
      <c r="D95" s="65"/>
    </row>
    <row r="96" spans="3:4" ht="15" customHeight="1" x14ac:dyDescent="0.35">
      <c r="C96" s="65"/>
      <c r="D96" s="65"/>
    </row>
    <row r="97" spans="3:4" ht="15" customHeight="1" x14ac:dyDescent="0.35">
      <c r="C97" s="65"/>
      <c r="D97" s="65"/>
    </row>
    <row r="98" spans="3:4" ht="15" customHeight="1" x14ac:dyDescent="0.35">
      <c r="C98" s="65"/>
      <c r="D98" s="65"/>
    </row>
    <row r="99" spans="3:4" ht="15" customHeight="1" x14ac:dyDescent="0.35">
      <c r="C99" s="65"/>
      <c r="D99" s="65"/>
    </row>
    <row r="100" spans="3:4" ht="15" customHeight="1" x14ac:dyDescent="0.35">
      <c r="C100" s="65"/>
      <c r="D100" s="65"/>
    </row>
    <row r="101" spans="3:4" ht="15" customHeight="1" x14ac:dyDescent="0.35">
      <c r="C101" s="65"/>
      <c r="D101" s="65"/>
    </row>
    <row r="102" spans="3:4" ht="15" customHeight="1" x14ac:dyDescent="0.35">
      <c r="C102" s="65"/>
      <c r="D102" s="65"/>
    </row>
    <row r="103" spans="3:4" ht="15" customHeight="1" x14ac:dyDescent="0.35">
      <c r="C103" s="65"/>
      <c r="D103" s="65"/>
    </row>
    <row r="104" spans="3:4" ht="15" customHeight="1" x14ac:dyDescent="0.35">
      <c r="C104" s="65"/>
      <c r="D104" s="65"/>
    </row>
    <row r="105" spans="3:4" ht="15" customHeight="1" x14ac:dyDescent="0.35">
      <c r="C105" s="65"/>
      <c r="D105" s="65"/>
    </row>
    <row r="106" spans="3:4" ht="15" customHeight="1" x14ac:dyDescent="0.35">
      <c r="C106" s="65"/>
      <c r="D106" s="65"/>
    </row>
    <row r="107" spans="3:4" ht="15" customHeight="1" x14ac:dyDescent="0.35">
      <c r="C107" s="65"/>
      <c r="D107" s="65"/>
    </row>
    <row r="108" spans="3:4" ht="15" customHeight="1" x14ac:dyDescent="0.35">
      <c r="C108" s="65"/>
      <c r="D108" s="65"/>
    </row>
    <row r="109" spans="3:4" ht="15" customHeight="1" x14ac:dyDescent="0.35">
      <c r="C109" s="65"/>
      <c r="D109" s="65"/>
    </row>
    <row r="110" spans="3:4" ht="15" customHeight="1" x14ac:dyDescent="0.35">
      <c r="C110" s="65"/>
      <c r="D110" s="65"/>
    </row>
    <row r="111" spans="3:4" ht="15" customHeight="1" x14ac:dyDescent="0.35">
      <c r="C111" s="65"/>
      <c r="D111" s="65"/>
    </row>
    <row r="112" spans="3:4" ht="15" customHeight="1" x14ac:dyDescent="0.35">
      <c r="C112" s="65"/>
      <c r="D112" s="65"/>
    </row>
    <row r="113" spans="3:4" ht="15" customHeight="1" x14ac:dyDescent="0.35">
      <c r="C113" s="65"/>
      <c r="D113" s="65"/>
    </row>
    <row r="114" spans="3:4" ht="15" customHeight="1" x14ac:dyDescent="0.35">
      <c r="C114" s="65"/>
      <c r="D114" s="65"/>
    </row>
    <row r="115" spans="3:4" ht="15" customHeight="1" x14ac:dyDescent="0.35">
      <c r="C115" s="65"/>
      <c r="D115" s="65"/>
    </row>
    <row r="116" spans="3:4" ht="15" customHeight="1" x14ac:dyDescent="0.35">
      <c r="C116" s="65"/>
      <c r="D116" s="65"/>
    </row>
    <row r="117" spans="3:4" ht="15" customHeight="1" x14ac:dyDescent="0.35">
      <c r="C117" s="65"/>
      <c r="D117" s="65"/>
    </row>
    <row r="118" spans="3:4" ht="15" customHeight="1" x14ac:dyDescent="0.35">
      <c r="C118" s="65"/>
      <c r="D118" s="65"/>
    </row>
    <row r="119" spans="3:4" ht="15" customHeight="1" x14ac:dyDescent="0.35">
      <c r="C119" s="65"/>
      <c r="D119" s="65"/>
    </row>
    <row r="120" spans="3:4" ht="15" customHeight="1" x14ac:dyDescent="0.35">
      <c r="C120" s="65"/>
      <c r="D120" s="65"/>
    </row>
    <row r="121" spans="3:4" ht="15" customHeight="1" x14ac:dyDescent="0.35">
      <c r="C121" s="65"/>
      <c r="D121" s="65"/>
    </row>
    <row r="122" spans="3:4" ht="15" customHeight="1" x14ac:dyDescent="0.35">
      <c r="C122" s="65"/>
      <c r="D122" s="65"/>
    </row>
    <row r="123" spans="3:4" ht="15" customHeight="1" x14ac:dyDescent="0.35">
      <c r="C123" s="65"/>
      <c r="D123" s="65"/>
    </row>
    <row r="124" spans="3:4" ht="15" customHeight="1" x14ac:dyDescent="0.35">
      <c r="C124" s="65"/>
      <c r="D124" s="65"/>
    </row>
    <row r="125" spans="3:4" ht="15" customHeight="1" x14ac:dyDescent="0.35">
      <c r="C125" s="65"/>
      <c r="D125" s="65"/>
    </row>
    <row r="126" spans="3:4" ht="15" customHeight="1" x14ac:dyDescent="0.35">
      <c r="C126" s="65"/>
      <c r="D126" s="65"/>
    </row>
    <row r="127" spans="3:4" ht="15" customHeight="1" x14ac:dyDescent="0.35">
      <c r="C127" s="65"/>
      <c r="D127" s="65"/>
    </row>
    <row r="128" spans="3:4" ht="15" customHeight="1" x14ac:dyDescent="0.35">
      <c r="C128" s="65"/>
      <c r="D128" s="65"/>
    </row>
    <row r="129" spans="3:4" ht="15" customHeight="1" x14ac:dyDescent="0.35">
      <c r="C129" s="65"/>
      <c r="D129" s="65"/>
    </row>
    <row r="130" spans="3:4" ht="15" customHeight="1" x14ac:dyDescent="0.35">
      <c r="C130" s="65"/>
      <c r="D130" s="65"/>
    </row>
    <row r="131" spans="3:4" ht="15" customHeight="1" x14ac:dyDescent="0.35">
      <c r="C131" s="65"/>
      <c r="D131" s="65"/>
    </row>
    <row r="132" spans="3:4" ht="15" customHeight="1" x14ac:dyDescent="0.35">
      <c r="C132" s="65"/>
      <c r="D132" s="65"/>
    </row>
    <row r="133" spans="3:4" ht="15" customHeight="1" x14ac:dyDescent="0.35">
      <c r="C133" s="65"/>
      <c r="D133" s="65"/>
    </row>
    <row r="134" spans="3:4" ht="15" customHeight="1" x14ac:dyDescent="0.35">
      <c r="C134" s="65"/>
      <c r="D134" s="65"/>
    </row>
    <row r="135" spans="3:4" ht="15" customHeight="1" x14ac:dyDescent="0.35">
      <c r="C135" s="65"/>
      <c r="D135" s="65"/>
    </row>
    <row r="136" spans="3:4" ht="15" customHeight="1" x14ac:dyDescent="0.35">
      <c r="C136" s="65"/>
      <c r="D136" s="65"/>
    </row>
    <row r="137" spans="3:4" ht="15" customHeight="1" x14ac:dyDescent="0.35">
      <c r="C137" s="65"/>
      <c r="D137" s="65"/>
    </row>
    <row r="138" spans="3:4" ht="15" customHeight="1" x14ac:dyDescent="0.35">
      <c r="C138" s="65"/>
      <c r="D138" s="65"/>
    </row>
    <row r="139" spans="3:4" ht="15" customHeight="1" x14ac:dyDescent="0.35">
      <c r="C139" s="65"/>
      <c r="D139" s="65"/>
    </row>
    <row r="140" spans="3:4" ht="15" customHeight="1" x14ac:dyDescent="0.35">
      <c r="C140" s="65"/>
      <c r="D140" s="65"/>
    </row>
    <row r="141" spans="3:4" ht="15" customHeight="1" x14ac:dyDescent="0.35">
      <c r="C141" s="65"/>
      <c r="D141" s="65"/>
    </row>
    <row r="142" spans="3:4" ht="15" customHeight="1" x14ac:dyDescent="0.35">
      <c r="C142" s="65"/>
      <c r="D142" s="65"/>
    </row>
    <row r="143" spans="3:4" ht="15" customHeight="1" x14ac:dyDescent="0.35">
      <c r="C143" s="65"/>
      <c r="D143" s="65"/>
    </row>
    <row r="144" spans="3:4" ht="15" customHeight="1" x14ac:dyDescent="0.35">
      <c r="C144" s="65"/>
      <c r="D144" s="65"/>
    </row>
    <row r="145" spans="3:4" ht="15" customHeight="1" x14ac:dyDescent="0.35">
      <c r="C145" s="65"/>
      <c r="D145" s="65"/>
    </row>
    <row r="146" spans="3:4" ht="15" customHeight="1" x14ac:dyDescent="0.35">
      <c r="C146" s="65"/>
      <c r="D146" s="65"/>
    </row>
    <row r="147" spans="3:4" ht="15" customHeight="1" x14ac:dyDescent="0.35">
      <c r="C147" s="65"/>
      <c r="D147" s="65"/>
    </row>
    <row r="148" spans="3:4" ht="15" customHeight="1" x14ac:dyDescent="0.35">
      <c r="C148" s="65"/>
      <c r="D148" s="65"/>
    </row>
    <row r="149" spans="3:4" ht="15" customHeight="1" x14ac:dyDescent="0.35">
      <c r="C149" s="65"/>
      <c r="D149" s="65"/>
    </row>
    <row r="150" spans="3:4" ht="15" customHeight="1" x14ac:dyDescent="0.35">
      <c r="C150" s="65"/>
      <c r="D150" s="65"/>
    </row>
    <row r="151" spans="3:4" ht="15" customHeight="1" x14ac:dyDescent="0.35">
      <c r="C151" s="65"/>
      <c r="D151" s="65"/>
    </row>
    <row r="152" spans="3:4" ht="15" customHeight="1" x14ac:dyDescent="0.35">
      <c r="C152" s="65"/>
      <c r="D152" s="65"/>
    </row>
    <row r="153" spans="3:4" ht="15" customHeight="1" x14ac:dyDescent="0.35">
      <c r="C153" s="65"/>
      <c r="D153" s="65"/>
    </row>
    <row r="154" spans="3:4" ht="15" customHeight="1" x14ac:dyDescent="0.35">
      <c r="C154" s="65"/>
      <c r="D154" s="65"/>
    </row>
    <row r="155" spans="3:4" ht="15" customHeight="1" x14ac:dyDescent="0.35">
      <c r="C155" s="65"/>
      <c r="D155" s="65"/>
    </row>
    <row r="156" spans="3:4" ht="15" customHeight="1" x14ac:dyDescent="0.35">
      <c r="C156" s="65"/>
      <c r="D156" s="65"/>
    </row>
    <row r="157" spans="3:4" ht="15" customHeight="1" x14ac:dyDescent="0.35">
      <c r="C157" s="65"/>
      <c r="D157" s="65"/>
    </row>
    <row r="158" spans="3:4" ht="15" customHeight="1" x14ac:dyDescent="0.35">
      <c r="C158" s="65"/>
      <c r="D158" s="65"/>
    </row>
    <row r="159" spans="3:4" ht="15" customHeight="1" x14ac:dyDescent="0.35">
      <c r="C159" s="65"/>
      <c r="D159" s="65"/>
    </row>
    <row r="160" spans="3:4" ht="15" customHeight="1" x14ac:dyDescent="0.35">
      <c r="C160" s="65"/>
      <c r="D160" s="65"/>
    </row>
    <row r="161" spans="3:4" ht="15" customHeight="1" x14ac:dyDescent="0.35">
      <c r="C161" s="65"/>
      <c r="D161" s="65"/>
    </row>
    <row r="162" spans="3:4" ht="15" customHeight="1" x14ac:dyDescent="0.35">
      <c r="C162" s="65"/>
      <c r="D162" s="65"/>
    </row>
    <row r="163" spans="3:4" ht="15" customHeight="1" x14ac:dyDescent="0.35">
      <c r="C163" s="65"/>
      <c r="D163" s="65"/>
    </row>
    <row r="164" spans="3:4" ht="15" customHeight="1" x14ac:dyDescent="0.35">
      <c r="C164" s="65"/>
      <c r="D164" s="65"/>
    </row>
    <row r="165" spans="3:4" ht="15" customHeight="1" x14ac:dyDescent="0.35">
      <c r="C165" s="65"/>
      <c r="D165" s="65"/>
    </row>
    <row r="166" spans="3:4" ht="15" customHeight="1" x14ac:dyDescent="0.35">
      <c r="C166" s="65"/>
      <c r="D166" s="65"/>
    </row>
    <row r="167" spans="3:4" ht="15" customHeight="1" x14ac:dyDescent="0.35">
      <c r="C167" s="65"/>
      <c r="D167" s="65"/>
    </row>
    <row r="168" spans="3:4" ht="15" customHeight="1" x14ac:dyDescent="0.35">
      <c r="C168" s="65"/>
      <c r="D168" s="65"/>
    </row>
    <row r="169" spans="3:4" ht="15" customHeight="1" x14ac:dyDescent="0.35">
      <c r="C169" s="65"/>
      <c r="D169" s="65"/>
    </row>
    <row r="170" spans="3:4" ht="15" customHeight="1" x14ac:dyDescent="0.35">
      <c r="C170" s="65"/>
      <c r="D170" s="65"/>
    </row>
    <row r="171" spans="3:4" ht="15" customHeight="1" x14ac:dyDescent="0.35">
      <c r="C171" s="65"/>
      <c r="D171" s="65"/>
    </row>
    <row r="172" spans="3:4" ht="15" customHeight="1" x14ac:dyDescent="0.35">
      <c r="C172" s="65"/>
      <c r="D172" s="65"/>
    </row>
    <row r="173" spans="3:4" ht="15" customHeight="1" x14ac:dyDescent="0.35">
      <c r="C173" s="65"/>
      <c r="D173" s="65"/>
    </row>
    <row r="174" spans="3:4" ht="15" customHeight="1" x14ac:dyDescent="0.35">
      <c r="C174" s="65"/>
      <c r="D174" s="65"/>
    </row>
    <row r="175" spans="3:4" ht="15" customHeight="1" x14ac:dyDescent="0.35">
      <c r="C175" s="65"/>
      <c r="D175" s="65"/>
    </row>
    <row r="176" spans="3:4" ht="15" customHeight="1" x14ac:dyDescent="0.35">
      <c r="C176" s="65"/>
      <c r="D176" s="65"/>
    </row>
    <row r="177" spans="3:4" ht="15" customHeight="1" x14ac:dyDescent="0.35">
      <c r="C177" s="65"/>
      <c r="D177" s="65"/>
    </row>
    <row r="178" spans="3:4" ht="15" customHeight="1" x14ac:dyDescent="0.35">
      <c r="C178" s="65"/>
      <c r="D178" s="65"/>
    </row>
    <row r="179" spans="3:4" ht="15" customHeight="1" x14ac:dyDescent="0.35">
      <c r="C179" s="65"/>
      <c r="D179" s="65"/>
    </row>
    <row r="180" spans="3:4" ht="15" customHeight="1" x14ac:dyDescent="0.35">
      <c r="C180" s="65"/>
      <c r="D180" s="65"/>
    </row>
    <row r="181" spans="3:4" ht="15" customHeight="1" x14ac:dyDescent="0.35">
      <c r="C181" s="65"/>
      <c r="D181" s="65"/>
    </row>
    <row r="182" spans="3:4" ht="15" customHeight="1" x14ac:dyDescent="0.35">
      <c r="C182" s="65"/>
      <c r="D182" s="65"/>
    </row>
    <row r="183" spans="3:4" ht="15" customHeight="1" x14ac:dyDescent="0.35">
      <c r="C183" s="65"/>
      <c r="D183" s="65"/>
    </row>
    <row r="184" spans="3:4" ht="15" customHeight="1" x14ac:dyDescent="0.35">
      <c r="C184" s="65"/>
      <c r="D184" s="65"/>
    </row>
    <row r="185" spans="3:4" ht="15" customHeight="1" x14ac:dyDescent="0.35">
      <c r="C185" s="65"/>
      <c r="D185" s="65"/>
    </row>
    <row r="186" spans="3:4" ht="15" customHeight="1" x14ac:dyDescent="0.35">
      <c r="C186" s="65"/>
      <c r="D186" s="65"/>
    </row>
    <row r="187" spans="3:4" ht="15" customHeight="1" x14ac:dyDescent="0.35">
      <c r="C187" s="65"/>
      <c r="D187" s="65"/>
    </row>
    <row r="188" spans="3:4" ht="15" customHeight="1" x14ac:dyDescent="0.35">
      <c r="C188" s="65"/>
      <c r="D188" s="65"/>
    </row>
    <row r="189" spans="3:4" ht="15" customHeight="1" x14ac:dyDescent="0.35">
      <c r="C189" s="65"/>
      <c r="D189" s="65"/>
    </row>
    <row r="190" spans="3:4" ht="15" customHeight="1" x14ac:dyDescent="0.35">
      <c r="C190" s="65"/>
      <c r="D190" s="65"/>
    </row>
    <row r="191" spans="3:4" ht="15" customHeight="1" x14ac:dyDescent="0.35">
      <c r="C191" s="65"/>
      <c r="D191" s="65"/>
    </row>
    <row r="192" spans="3:4" ht="15" customHeight="1" x14ac:dyDescent="0.35">
      <c r="C192" s="65"/>
      <c r="D192" s="65"/>
    </row>
    <row r="193" spans="3:4" ht="15" customHeight="1" x14ac:dyDescent="0.35">
      <c r="C193" s="65"/>
      <c r="D193" s="65"/>
    </row>
  </sheetData>
  <sheetProtection selectLockedCells="1" sort="0" autoFilter="0" pivotTables="0"/>
  <mergeCells count="1">
    <mergeCell ref="A1:T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5"/>
  <sheetViews>
    <sheetView workbookViewId="0">
      <pane ySplit="1" topLeftCell="A2" activePane="bottomLeft" state="frozen"/>
      <selection pane="bottomLeft" activeCell="G26" sqref="A1:XFD1048576"/>
    </sheetView>
  </sheetViews>
  <sheetFormatPr defaultColWidth="10.6640625" defaultRowHeight="15" customHeight="1" x14ac:dyDescent="0.3"/>
  <cols>
    <col min="1" max="1" width="14.5546875" style="16" customWidth="1"/>
    <col min="2" max="2" width="15.21875" style="16" customWidth="1"/>
    <col min="3" max="3" width="9.88671875" style="16" customWidth="1"/>
    <col min="4" max="5" width="14.33203125" style="16" customWidth="1"/>
    <col min="6" max="6" width="9.88671875" style="16" customWidth="1"/>
    <col min="7" max="7" width="14.5546875" style="16" customWidth="1"/>
    <col min="8" max="8" width="5.44140625" style="16" customWidth="1"/>
    <col min="9" max="9" width="9.88671875" style="16" customWidth="1"/>
    <col min="10" max="11" width="12.5546875" style="16" customWidth="1"/>
    <col min="12" max="16" width="4" style="16" customWidth="1"/>
    <col min="17" max="20" width="5" style="16" customWidth="1"/>
    <col min="21" max="21" width="13.44140625" style="16" bestFit="1" customWidth="1"/>
    <col min="22" max="16384" width="10.6640625" style="16"/>
  </cols>
  <sheetData>
    <row r="1" spans="1:11" ht="15" customHeight="1" x14ac:dyDescent="0.3">
      <c r="A1" s="58" t="s">
        <v>204</v>
      </c>
      <c r="B1" s="58"/>
      <c r="D1" s="58" t="s">
        <v>205</v>
      </c>
      <c r="E1" s="58"/>
      <c r="G1" s="58" t="s">
        <v>206</v>
      </c>
      <c r="H1" s="58"/>
      <c r="J1" s="58" t="s">
        <v>207</v>
      </c>
      <c r="K1" s="58"/>
    </row>
    <row r="2" spans="1:11" ht="15" customHeight="1" x14ac:dyDescent="0.3">
      <c r="A2" s="17" t="s">
        <v>192</v>
      </c>
      <c r="B2" s="16" t="s">
        <v>190</v>
      </c>
      <c r="D2" s="17" t="s">
        <v>192</v>
      </c>
      <c r="E2" s="16" t="s">
        <v>191</v>
      </c>
      <c r="G2" s="72" t="s">
        <v>208</v>
      </c>
      <c r="H2" s="57" t="s">
        <v>190</v>
      </c>
      <c r="J2" s="57" t="s">
        <v>209</v>
      </c>
      <c r="K2" s="57" t="s">
        <v>190</v>
      </c>
    </row>
    <row r="3" spans="1:11" ht="15" customHeight="1" x14ac:dyDescent="0.3">
      <c r="A3" s="16" t="s">
        <v>148</v>
      </c>
      <c r="B3" s="18"/>
      <c r="D3" s="16" t="s">
        <v>147</v>
      </c>
      <c r="E3" s="18"/>
      <c r="G3" s="57" t="s">
        <v>164</v>
      </c>
      <c r="H3" s="73">
        <v>1013</v>
      </c>
      <c r="J3" s="16" t="s">
        <v>147</v>
      </c>
      <c r="K3" s="16">
        <v>13963</v>
      </c>
    </row>
    <row r="4" spans="1:11" ht="15" customHeight="1" x14ac:dyDescent="0.3">
      <c r="A4" s="19" t="s">
        <v>135</v>
      </c>
      <c r="B4" s="18">
        <v>524</v>
      </c>
      <c r="D4" s="20" t="s">
        <v>154</v>
      </c>
      <c r="E4" s="18">
        <v>4.67</v>
      </c>
      <c r="G4" s="57" t="s">
        <v>165</v>
      </c>
      <c r="H4" s="73">
        <v>1014</v>
      </c>
      <c r="J4" s="16" t="s">
        <v>148</v>
      </c>
      <c r="K4" s="16">
        <v>5023</v>
      </c>
    </row>
    <row r="5" spans="1:11" ht="15" customHeight="1" x14ac:dyDescent="0.3">
      <c r="A5" s="19" t="s">
        <v>136</v>
      </c>
      <c r="B5" s="18">
        <v>293</v>
      </c>
      <c r="D5" s="16" t="s">
        <v>148</v>
      </c>
      <c r="E5" s="18"/>
      <c r="G5" s="57" t="s">
        <v>163</v>
      </c>
      <c r="H5" s="73">
        <v>835</v>
      </c>
      <c r="J5" s="16" t="s">
        <v>149</v>
      </c>
      <c r="K5" s="16">
        <v>4413</v>
      </c>
    </row>
    <row r="6" spans="1:11" ht="15" customHeight="1" x14ac:dyDescent="0.3">
      <c r="A6" s="19" t="s">
        <v>137</v>
      </c>
      <c r="B6" s="18">
        <v>173</v>
      </c>
      <c r="D6" s="20" t="s">
        <v>155</v>
      </c>
      <c r="E6" s="18">
        <v>4.9749999999999996</v>
      </c>
      <c r="G6" s="57" t="s">
        <v>162</v>
      </c>
      <c r="H6" s="73">
        <v>1162</v>
      </c>
      <c r="J6" s="16" t="s">
        <v>150</v>
      </c>
      <c r="K6" s="16">
        <v>6985</v>
      </c>
    </row>
    <row r="7" spans="1:11" ht="15" customHeight="1" x14ac:dyDescent="0.3">
      <c r="A7" s="19" t="s">
        <v>138</v>
      </c>
      <c r="B7" s="18">
        <v>29</v>
      </c>
      <c r="D7" s="20" t="s">
        <v>156</v>
      </c>
      <c r="E7" s="18">
        <v>5.2100000000000009</v>
      </c>
      <c r="G7" s="57" t="s">
        <v>161</v>
      </c>
      <c r="H7" s="73">
        <v>1372</v>
      </c>
      <c r="J7" s="16" t="s">
        <v>151</v>
      </c>
      <c r="K7" s="16">
        <v>6077</v>
      </c>
    </row>
    <row r="8" spans="1:11" ht="15" customHeight="1" x14ac:dyDescent="0.3">
      <c r="A8" s="19" t="s">
        <v>139</v>
      </c>
      <c r="B8" s="18">
        <v>466</v>
      </c>
      <c r="D8" s="20" t="s">
        <v>157</v>
      </c>
      <c r="E8" s="18">
        <v>5.6524999999999999</v>
      </c>
      <c r="G8" s="57" t="s">
        <v>134</v>
      </c>
      <c r="H8" s="73">
        <v>5396</v>
      </c>
    </row>
    <row r="9" spans="1:11" ht="15" customHeight="1" x14ac:dyDescent="0.3">
      <c r="A9" s="19" t="s">
        <v>140</v>
      </c>
      <c r="B9" s="18">
        <v>49</v>
      </c>
      <c r="D9" s="20" t="s">
        <v>154</v>
      </c>
      <c r="E9" s="18">
        <v>5.7833333333333341</v>
      </c>
      <c r="G9"/>
      <c r="H9"/>
    </row>
    <row r="10" spans="1:11" ht="15" customHeight="1" x14ac:dyDescent="0.3">
      <c r="A10" s="19" t="s">
        <v>141</v>
      </c>
      <c r="B10" s="18">
        <v>328</v>
      </c>
      <c r="D10" s="16" t="s">
        <v>149</v>
      </c>
      <c r="E10" s="18"/>
      <c r="G10"/>
      <c r="H10"/>
    </row>
    <row r="11" spans="1:11" ht="15" customHeight="1" x14ac:dyDescent="0.3">
      <c r="A11" s="19" t="s">
        <v>142</v>
      </c>
      <c r="B11" s="18">
        <v>324</v>
      </c>
      <c r="D11" s="20" t="s">
        <v>155</v>
      </c>
      <c r="E11" s="18">
        <v>6.1960000000000006</v>
      </c>
      <c r="G11"/>
      <c r="H11"/>
    </row>
    <row r="12" spans="1:11" ht="15" customHeight="1" x14ac:dyDescent="0.3">
      <c r="A12" s="19" t="s">
        <v>143</v>
      </c>
      <c r="B12" s="18">
        <v>803</v>
      </c>
      <c r="D12" s="20" t="s">
        <v>156</v>
      </c>
      <c r="E12" s="18">
        <v>6.7949999999999999</v>
      </c>
      <c r="G12"/>
      <c r="H12"/>
    </row>
    <row r="13" spans="1:11" ht="15" customHeight="1" x14ac:dyDescent="0.3">
      <c r="A13" s="19" t="s">
        <v>144</v>
      </c>
      <c r="B13" s="18">
        <v>15</v>
      </c>
      <c r="D13" s="20" t="s">
        <v>157</v>
      </c>
      <c r="E13" s="18">
        <v>6.6950000000000003</v>
      </c>
      <c r="G13"/>
      <c r="H13"/>
    </row>
    <row r="14" spans="1:11" ht="15" customHeight="1" x14ac:dyDescent="0.3">
      <c r="A14" s="19" t="s">
        <v>145</v>
      </c>
      <c r="B14" s="18">
        <v>1095</v>
      </c>
      <c r="D14" s="20" t="s">
        <v>154</v>
      </c>
      <c r="E14" s="18">
        <v>6.55</v>
      </c>
      <c r="G14"/>
      <c r="H14"/>
    </row>
    <row r="15" spans="1:11" ht="15" customHeight="1" x14ac:dyDescent="0.3">
      <c r="A15" s="19" t="s">
        <v>146</v>
      </c>
      <c r="B15" s="18">
        <v>924</v>
      </c>
      <c r="D15" s="16" t="s">
        <v>150</v>
      </c>
      <c r="E15" s="18"/>
      <c r="G15"/>
      <c r="H15"/>
    </row>
    <row r="16" spans="1:11" ht="15" customHeight="1" x14ac:dyDescent="0.3">
      <c r="A16" s="16" t="s">
        <v>149</v>
      </c>
      <c r="B16" s="18"/>
      <c r="D16" s="20" t="s">
        <v>155</v>
      </c>
      <c r="E16" s="18">
        <v>6.5950000000000006</v>
      </c>
      <c r="G16"/>
      <c r="H16"/>
    </row>
    <row r="17" spans="1:8" ht="15" customHeight="1" x14ac:dyDescent="0.3">
      <c r="A17" s="19" t="s">
        <v>135</v>
      </c>
      <c r="B17" s="18">
        <v>181</v>
      </c>
      <c r="D17" s="20" t="s">
        <v>156</v>
      </c>
      <c r="E17" s="18">
        <v>6.5283333333333333</v>
      </c>
      <c r="G17"/>
      <c r="H17"/>
    </row>
    <row r="18" spans="1:8" ht="15" customHeight="1" x14ac:dyDescent="0.3">
      <c r="A18" s="19" t="s">
        <v>136</v>
      </c>
      <c r="B18" s="18">
        <v>171</v>
      </c>
      <c r="D18" s="20" t="s">
        <v>157</v>
      </c>
      <c r="E18" s="18">
        <v>6.37</v>
      </c>
      <c r="G18"/>
      <c r="H18"/>
    </row>
    <row r="19" spans="1:8" ht="15" customHeight="1" x14ac:dyDescent="0.3">
      <c r="A19" s="19" t="s">
        <v>137</v>
      </c>
      <c r="B19" s="18">
        <v>539</v>
      </c>
      <c r="D19" s="20" t="s">
        <v>154</v>
      </c>
      <c r="E19" s="18">
        <v>6.1899999999999995</v>
      </c>
      <c r="G19"/>
      <c r="H19"/>
    </row>
    <row r="20" spans="1:8" ht="15" customHeight="1" x14ac:dyDescent="0.3">
      <c r="A20" s="19" t="s">
        <v>138</v>
      </c>
      <c r="B20" s="18">
        <v>189</v>
      </c>
      <c r="D20" s="16" t="s">
        <v>151</v>
      </c>
      <c r="E20" s="18"/>
    </row>
    <row r="21" spans="1:8" ht="15" customHeight="1" x14ac:dyDescent="0.3">
      <c r="A21" s="19" t="s">
        <v>139</v>
      </c>
      <c r="B21" s="18">
        <v>450</v>
      </c>
      <c r="D21" s="20" t="s">
        <v>155</v>
      </c>
      <c r="E21" s="18">
        <v>6.286666666666668</v>
      </c>
    </row>
    <row r="22" spans="1:8" ht="15" customHeight="1" x14ac:dyDescent="0.3">
      <c r="A22" s="19" t="s">
        <v>140</v>
      </c>
      <c r="B22" s="18">
        <v>20</v>
      </c>
      <c r="D22" s="20" t="s">
        <v>156</v>
      </c>
      <c r="E22" s="18">
        <v>6.54</v>
      </c>
    </row>
    <row r="23" spans="1:8" ht="15" customHeight="1" x14ac:dyDescent="0.3">
      <c r="A23" s="19" t="s">
        <v>141</v>
      </c>
      <c r="B23" s="18">
        <v>264</v>
      </c>
      <c r="D23" s="20" t="s">
        <v>157</v>
      </c>
      <c r="E23" s="18">
        <v>6.1833333333333327</v>
      </c>
    </row>
    <row r="24" spans="1:8" ht="15" customHeight="1" x14ac:dyDescent="0.3">
      <c r="A24" s="19" t="s">
        <v>142</v>
      </c>
      <c r="B24" s="18">
        <v>114</v>
      </c>
      <c r="D24" s="20" t="s">
        <v>154</v>
      </c>
      <c r="E24" s="18">
        <v>6.1025</v>
      </c>
    </row>
    <row r="25" spans="1:8" ht="15" customHeight="1" x14ac:dyDescent="0.3">
      <c r="A25" s="19" t="s">
        <v>143</v>
      </c>
      <c r="B25" s="18">
        <v>775</v>
      </c>
      <c r="D25" s="16" t="s">
        <v>134</v>
      </c>
      <c r="E25" s="18">
        <v>6.1805952380952389</v>
      </c>
    </row>
    <row r="26" spans="1:8" ht="15" customHeight="1" x14ac:dyDescent="0.3">
      <c r="A26" s="19" t="s">
        <v>144</v>
      </c>
      <c r="B26" s="18">
        <v>136</v>
      </c>
    </row>
    <row r="27" spans="1:8" ht="15" customHeight="1" x14ac:dyDescent="0.3">
      <c r="A27" s="19" t="s">
        <v>145</v>
      </c>
      <c r="B27" s="18">
        <v>473</v>
      </c>
    </row>
    <row r="28" spans="1:8" ht="15" customHeight="1" x14ac:dyDescent="0.3">
      <c r="A28" s="19" t="s">
        <v>146</v>
      </c>
      <c r="B28" s="18">
        <v>1101</v>
      </c>
    </row>
    <row r="29" spans="1:8" ht="15" customHeight="1" x14ac:dyDescent="0.3">
      <c r="A29" s="16" t="s">
        <v>150</v>
      </c>
      <c r="B29" s="18"/>
    </row>
    <row r="30" spans="1:8" ht="15" customHeight="1" x14ac:dyDescent="0.3">
      <c r="A30" s="19" t="s">
        <v>135</v>
      </c>
      <c r="B30" s="18">
        <v>221</v>
      </c>
    </row>
    <row r="31" spans="1:8" ht="15" customHeight="1" x14ac:dyDescent="0.3">
      <c r="A31" s="19" t="s">
        <v>136</v>
      </c>
      <c r="B31" s="18">
        <v>215</v>
      </c>
    </row>
    <row r="32" spans="1:8" ht="15" customHeight="1" x14ac:dyDescent="0.3">
      <c r="A32" s="19" t="s">
        <v>137</v>
      </c>
      <c r="B32" s="18">
        <v>314</v>
      </c>
    </row>
    <row r="33" spans="1:2" ht="15" customHeight="1" x14ac:dyDescent="0.3">
      <c r="A33" s="19" t="s">
        <v>138</v>
      </c>
      <c r="B33" s="18">
        <v>882</v>
      </c>
    </row>
    <row r="34" spans="1:2" ht="15" customHeight="1" x14ac:dyDescent="0.3">
      <c r="A34" s="19" t="s">
        <v>139</v>
      </c>
      <c r="B34" s="18">
        <v>530</v>
      </c>
    </row>
    <row r="35" spans="1:2" ht="15" customHeight="1" x14ac:dyDescent="0.3">
      <c r="A35" s="19" t="s">
        <v>140</v>
      </c>
      <c r="B35" s="18">
        <v>30</v>
      </c>
    </row>
    <row r="36" spans="1:2" ht="15" customHeight="1" x14ac:dyDescent="0.3">
      <c r="A36" s="19" t="s">
        <v>141</v>
      </c>
      <c r="B36" s="18">
        <v>413</v>
      </c>
    </row>
    <row r="37" spans="1:2" ht="15" customHeight="1" x14ac:dyDescent="0.3">
      <c r="A37" s="19" t="s">
        <v>142</v>
      </c>
      <c r="B37" s="18">
        <v>492</v>
      </c>
    </row>
    <row r="38" spans="1:2" ht="15" customHeight="1" x14ac:dyDescent="0.3">
      <c r="A38" s="19" t="s">
        <v>143</v>
      </c>
      <c r="B38" s="18">
        <v>467</v>
      </c>
    </row>
    <row r="39" spans="1:2" ht="15" customHeight="1" x14ac:dyDescent="0.3">
      <c r="A39" s="19" t="s">
        <v>144</v>
      </c>
      <c r="B39" s="18">
        <v>1571</v>
      </c>
    </row>
    <row r="40" spans="1:2" ht="15" customHeight="1" x14ac:dyDescent="0.3">
      <c r="A40" s="19" t="s">
        <v>145</v>
      </c>
      <c r="B40" s="18">
        <v>1629</v>
      </c>
    </row>
    <row r="41" spans="1:2" ht="15" customHeight="1" x14ac:dyDescent="0.3">
      <c r="A41" s="19" t="s">
        <v>146</v>
      </c>
      <c r="B41" s="18">
        <v>221</v>
      </c>
    </row>
    <row r="42" spans="1:2" ht="15" customHeight="1" x14ac:dyDescent="0.3">
      <c r="A42" s="16" t="s">
        <v>151</v>
      </c>
      <c r="B42" s="18"/>
    </row>
    <row r="43" spans="1:2" ht="15" customHeight="1" x14ac:dyDescent="0.3">
      <c r="A43" s="19" t="s">
        <v>135</v>
      </c>
      <c r="B43" s="18">
        <v>405</v>
      </c>
    </row>
    <row r="44" spans="1:2" ht="15" customHeight="1" x14ac:dyDescent="0.3">
      <c r="A44" s="19" t="s">
        <v>136</v>
      </c>
      <c r="B44" s="18">
        <v>158</v>
      </c>
    </row>
    <row r="45" spans="1:2" ht="15" customHeight="1" x14ac:dyDescent="0.3">
      <c r="A45" s="19" t="s">
        <v>137</v>
      </c>
      <c r="B45" s="18">
        <v>489</v>
      </c>
    </row>
    <row r="46" spans="1:2" ht="15" customHeight="1" x14ac:dyDescent="0.3">
      <c r="A46" s="19" t="s">
        <v>138</v>
      </c>
      <c r="B46" s="18">
        <v>647</v>
      </c>
    </row>
    <row r="47" spans="1:2" ht="15" customHeight="1" x14ac:dyDescent="0.3">
      <c r="A47" s="19" t="s">
        <v>139</v>
      </c>
      <c r="B47" s="18">
        <v>216</v>
      </c>
    </row>
    <row r="48" spans="1:2" ht="15" customHeight="1" x14ac:dyDescent="0.3">
      <c r="A48" s="19" t="s">
        <v>140</v>
      </c>
      <c r="B48" s="18">
        <v>601</v>
      </c>
    </row>
    <row r="49" spans="1:2" ht="15" customHeight="1" x14ac:dyDescent="0.3">
      <c r="A49" s="19" t="s">
        <v>141</v>
      </c>
      <c r="B49" s="18">
        <v>276</v>
      </c>
    </row>
    <row r="50" spans="1:2" ht="15" customHeight="1" x14ac:dyDescent="0.3">
      <c r="A50" s="19" t="s">
        <v>142</v>
      </c>
      <c r="B50" s="18">
        <v>171</v>
      </c>
    </row>
    <row r="51" spans="1:2" ht="15" customHeight="1" x14ac:dyDescent="0.3">
      <c r="A51" s="19" t="s">
        <v>143</v>
      </c>
      <c r="B51" s="18">
        <v>479</v>
      </c>
    </row>
    <row r="52" spans="1:2" ht="15" customHeight="1" x14ac:dyDescent="0.3">
      <c r="A52" s="19" t="s">
        <v>144</v>
      </c>
      <c r="B52" s="18">
        <v>506</v>
      </c>
    </row>
    <row r="53" spans="1:2" ht="15" customHeight="1" x14ac:dyDescent="0.3">
      <c r="A53" s="19" t="s">
        <v>145</v>
      </c>
      <c r="B53" s="18">
        <v>1496</v>
      </c>
    </row>
    <row r="54" spans="1:2" ht="15" customHeight="1" x14ac:dyDescent="0.3">
      <c r="A54" s="19" t="s">
        <v>146</v>
      </c>
      <c r="B54" s="18">
        <v>633</v>
      </c>
    </row>
    <row r="55" spans="1:2" ht="15" customHeight="1" x14ac:dyDescent="0.3">
      <c r="A55" s="16" t="s">
        <v>134</v>
      </c>
      <c r="B55" s="18">
        <v>22498</v>
      </c>
    </row>
  </sheetData>
  <sheetProtection algorithmName="SHA-512" hashValue="g3/k0sqEVbC8GFusoS/v/N6bFTaiWTQ/G0Cw5FPKBoNP6gy7uQzIOkrrT+0rPJdVMFt7LNFMI6P7VFGVef3F5A==" saltValue="zJxaMm+cbedMpULXXzmZsg==" spinCount="100000" sheet="1" objects="1" scenarios="1" selectLockedCells="1" sort="0" autoFilter="0" pivotTables="0"/>
  <mergeCells count="4">
    <mergeCell ref="A1:B1"/>
    <mergeCell ref="D1:E1"/>
    <mergeCell ref="G1:H1"/>
    <mergeCell ref="J1:K1"/>
  </mergeCells>
  <pageMargins left="0.7" right="0.7" top="0.75" bottom="0.75" header="0.3" footer="0.3"/>
  <pageSetup paperSize="9" orientation="portrait"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2</vt:i4>
      </vt:variant>
    </vt:vector>
  </HeadingPairs>
  <TitlesOfParts>
    <vt:vector size="5" baseType="lpstr">
      <vt:lpstr>Calculation Sheet</vt:lpstr>
      <vt:lpstr>Dashboard</vt:lpstr>
      <vt:lpstr>Data for visualizations</vt:lpstr>
      <vt:lpstr>'Calculation Sheet'!Kryteria</vt:lpstr>
      <vt:lpstr>'Calculation Sheet'!Wybieranie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2025-04-01T04:26:46Z</dcterms:modified>
</cp:coreProperties>
</file>